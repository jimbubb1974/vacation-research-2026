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p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/>
    <font>
      <i val="1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2C5F8A"/>
      </patternFill>
    </fill>
    <fill>
      <patternFill patternType="solid">
        <fgColor rgb="00D5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164" fontId="2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right"/>
    </xf>
    <xf numFmtId="0" fontId="0" fillId="2" borderId="0" pivotButton="0" quotePrefix="0" xfId="0"/>
    <xf numFmtId="164" fontId="1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4" customWidth="1" min="1" max="1"/>
    <col width="54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Amount (USD)</t>
        </is>
      </c>
    </row>
    <row r="2">
      <c r="A2" s="2" t="inlineStr">
        <is>
          <t>Flights</t>
        </is>
      </c>
      <c r="B2" s="3" t="n"/>
      <c r="C2" s="4">
        <f>SUM(C3:C3)</f>
        <v/>
      </c>
    </row>
    <row r="3">
      <c r="B3" s="5" t="inlineStr">
        <is>
          <t>UA 108 IAD→MUC Jul 11 + OS 41 VIE→IAD Jul 22 nonstop (4 people) — Conf. IKR3ZV</t>
        </is>
      </c>
      <c r="C3" s="6" t="n">
        <v>5422.52</v>
      </c>
    </row>
    <row r="4">
      <c r="A4" s="2" t="inlineStr">
        <is>
          <t>Accommodation</t>
        </is>
      </c>
      <c r="B4" s="3" t="n"/>
      <c r="C4" s="4">
        <f>SUM(C5:C8)</f>
        <v/>
      </c>
    </row>
    <row r="5">
      <c r="B5" s="5" t="inlineStr">
        <is>
          <t>Munich — PRIME City Apt Adamstraße 4, 2 nights (Jul 12–14) — Conf. HM4ZPJHYB9</t>
        </is>
      </c>
      <c r="C5" s="6" t="n">
        <v>782.08</v>
      </c>
    </row>
    <row r="6">
      <c r="B6" s="5" t="inlineStr">
        <is>
          <t>Königssee — Villa Alpenrausch, 3 nights (Jul 14–17) BOOKED</t>
        </is>
      </c>
      <c r="C6" s="6" t="n">
        <v>1435.99</v>
      </c>
    </row>
    <row r="7">
      <c r="B7" s="5" t="inlineStr">
        <is>
          <t>Salzburg — Mozart House Gstättengasse 25, 2 nights (Jul 17–19) — Conf. HM4NSFM9J3</t>
        </is>
      </c>
      <c r="C7" s="6" t="n">
        <v>1007.28</v>
      </c>
    </row>
    <row r="8">
      <c r="B8" s="5" t="inlineStr">
        <is>
          <t>Vienna — City Center Klimt's Balcony Suite, 3 nights (Jul 19–22) — Conf. HMT8SQRKMA</t>
        </is>
      </c>
      <c r="C8" s="6" t="n">
        <v>1068.21</v>
      </c>
    </row>
    <row r="9">
      <c r="A9" s="2" t="inlineStr">
        <is>
          <t>Transport</t>
        </is>
      </c>
      <c r="B9" s="3" t="n"/>
      <c r="C9" s="4">
        <f>SUM(C10:C19)</f>
        <v/>
      </c>
    </row>
    <row r="10">
      <c r="B10" s="7" t="inlineStr">
        <is>
          <t>Airport → city: MVV group day ticket (Jul 12) *</t>
        </is>
      </c>
      <c r="C10" s="6" t="n">
        <v>16</v>
      </c>
    </row>
    <row r="11">
      <c r="B11" s="5" t="inlineStr">
        <is>
          <t>Bayern-Ticket: Munich → Berchtesgaden (Jul 14, group) — €64.00 paid, Conf. 342448586457</t>
        </is>
      </c>
      <c r="C11" s="6" t="n">
        <v>69.76000000000001</v>
      </c>
    </row>
    <row r="12">
      <c r="B12" s="5" t="inlineStr">
        <is>
          <t>Bounce luggage storage, Munich (Jul 12, 4 reg + 4 small bags) — €40.80 paid, Ref S69FQ16J</t>
        </is>
      </c>
      <c r="C12" s="6" t="n">
        <v>44.47</v>
      </c>
    </row>
    <row r="13">
      <c r="B13" s="5" t="inlineStr">
        <is>
          <t>Berchtesgaden local RVO buses — included with host-provided Guest Card (line 849 excluded)</t>
        </is>
      </c>
      <c r="C13" s="6" t="n">
        <v>0</v>
      </c>
    </row>
    <row r="14">
      <c r="B14" s="7" t="inlineStr">
        <is>
          <t>Schönau → Salzburg: direct taxi (Jul 17) *</t>
        </is>
      </c>
      <c r="C14" s="6" t="n">
        <v>100</v>
      </c>
    </row>
    <row r="15">
      <c r="B15" s="5" t="inlineStr">
        <is>
          <t>Bounce luggage storage, Salzburg (Jul 17, 4 reg + 4 small bags) — €48.80 paid, Ref 543WH67Q</t>
        </is>
      </c>
      <c r="C15" s="6" t="n">
        <v>53.19</v>
      </c>
    </row>
    <row r="16">
      <c r="B16" s="5" t="inlineStr">
        <is>
          <t>WESTbahn: Salzburg → Vienna (Jul 19, 4 people) — Conf. NAYRKY</t>
        </is>
      </c>
      <c r="C16" s="6" t="n">
        <v>262.84</v>
      </c>
    </row>
    <row r="17">
      <c r="B17" s="5" t="inlineStr">
        <is>
          <t>Bounce luggage storage, Vienna (Jul 19, 4 reg + 4 small bags) — €30.27 paid, Ref 1X9XMXPG</t>
        </is>
      </c>
      <c r="C17" s="6" t="n">
        <v>32.99</v>
      </c>
    </row>
    <row r="18">
      <c r="B18" s="7" t="inlineStr">
        <is>
          <t>Vienna public transit (Jul 19–22) *</t>
        </is>
      </c>
      <c r="C18" s="6" t="n">
        <v>28</v>
      </c>
    </row>
    <row r="19">
      <c r="B19" s="7" t="inlineStr">
        <is>
          <t>CAT Wien Mitte → VIE airport (Jul 22, 4 people) *</t>
        </is>
      </c>
      <c r="C19" s="6" t="n">
        <v>52</v>
      </c>
    </row>
    <row r="20">
      <c r="A20" s="2" t="inlineStr">
        <is>
          <t>Activities</t>
        </is>
      </c>
      <c r="B20" s="3" t="n"/>
      <c r="C20" s="4">
        <f>SUM(C21:C29)</f>
        <v/>
      </c>
    </row>
    <row r="21">
      <c r="B21" s="5" t="inlineStr">
        <is>
          <t>Mike's Bike Tours Munich (4 people) — €180.67 paid, Booking #354406124</t>
        </is>
      </c>
      <c r="C21" s="6" t="n">
        <v>197</v>
      </c>
    </row>
    <row r="22">
      <c r="B22" s="5" t="inlineStr">
        <is>
          <t>Nymphenburg Palace combination ticket — €58 paid, Order #42616</t>
        </is>
      </c>
      <c r="C22" s="6" t="n">
        <v>63</v>
      </c>
    </row>
    <row r="23">
      <c r="B23" s="7" t="inlineStr">
        <is>
          <t>Eagle's Nest Kehlstein bus (4 people) *</t>
        </is>
      </c>
      <c r="C23" s="6" t="n">
        <v>80</v>
      </c>
    </row>
    <row r="24">
      <c r="B24" s="7" t="inlineStr">
        <is>
          <t>Königssee electric boat (4 people) *</t>
        </is>
      </c>
      <c r="C24" s="6" t="n">
        <v>88</v>
      </c>
    </row>
    <row r="25">
      <c r="B25" s="7" t="inlineStr">
        <is>
          <t>Hohensalzburg fortress admission (4 people) *</t>
        </is>
      </c>
      <c r="C25" s="6" t="n">
        <v>66</v>
      </c>
    </row>
    <row r="26">
      <c r="B26" s="7" t="inlineStr">
        <is>
          <t>St. Peter Stiftskeller dinner (4 people) *</t>
        </is>
      </c>
      <c r="C26" s="6" t="n">
        <v>220</v>
      </c>
    </row>
    <row r="27">
      <c r="B27" s="7" t="inlineStr">
        <is>
          <t>Schönbrunn Palace + maze (4 people) *</t>
        </is>
      </c>
      <c r="C27" s="6" t="n">
        <v>132</v>
      </c>
    </row>
    <row r="28">
      <c r="B28" s="7" t="inlineStr">
        <is>
          <t>Upper Belvedere admission (4 people) *</t>
        </is>
      </c>
      <c r="C28" s="6" t="n">
        <v>84</v>
      </c>
    </row>
    <row r="29">
      <c r="B29" s="7" t="inlineStr">
        <is>
          <t>Riesenrad / Prater (4 people) *</t>
        </is>
      </c>
      <c r="C29" s="6" t="n">
        <v>64</v>
      </c>
    </row>
    <row r="30">
      <c r="A30" s="2" t="inlineStr">
        <is>
          <t>Meals &amp; Incidentals</t>
        </is>
      </c>
      <c r="B30" s="3" t="n"/>
      <c r="C30" s="4">
        <f>SUM(C31:C32)</f>
        <v/>
      </c>
    </row>
    <row r="31">
      <c r="B31" s="7" t="inlineStr">
        <is>
          <t>Meals (~$150/day × 11 days) *</t>
        </is>
      </c>
      <c r="C31" s="6" t="n">
        <v>1650</v>
      </c>
    </row>
    <row r="32">
      <c r="B32" s="7" t="inlineStr">
        <is>
          <t>Miscellaneous / buffer *</t>
        </is>
      </c>
      <c r="C32" s="6" t="n">
        <v>500</v>
      </c>
    </row>
    <row r="34">
      <c r="A34" s="8" t="inlineStr">
        <is>
          <t>TOTAL</t>
        </is>
      </c>
      <c r="B34" s="9" t="n"/>
      <c r="C34" s="10">
        <f>C2+C4+C9+C20+C30</f>
        <v/>
      </c>
    </row>
    <row r="36">
      <c r="A36" s="11" t="inlineStr">
        <is>
          <t>* = estimated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2026-06-29T00:59:16Z</dcterms:created>
  <dcterms:modified xmlns:dcterms="http://purl.org/dc/terms/" xmlns:xsi="http://www.w3.org/2001/XMLSchema-instance" xsi:type="dcterms:W3CDTF">2026-06-29T00:59:16Z</dcterms:modified>
</cp:coreProperties>
</file>