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p Co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/>
    <font>
      <i val="1"/>
    </font>
    <font>
      <i val="1"/>
      <color rgb="00888888"/>
    </font>
  </fonts>
  <fills count="5">
    <fill>
      <patternFill/>
    </fill>
    <fill>
      <patternFill patternType="gray125"/>
    </fill>
    <fill>
      <patternFill patternType="solid">
        <fgColor rgb="002C5F8A"/>
      </patternFill>
    </fill>
    <fill>
      <patternFill patternType="solid">
        <fgColor rgb="00D5E8F5"/>
      </patternFill>
    </fill>
    <fill>
      <patternFill patternType="solid">
        <fgColor rgb="00EA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0" fillId="4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right"/>
    </xf>
    <xf numFmtId="0" fontId="0" fillId="2" borderId="0" pivotButton="0" quotePrefix="0" xfId="0"/>
    <xf numFmtId="164" fontId="1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24" customWidth="1" min="1" max="1"/>
    <col width="54" customWidth="1" min="2" max="2"/>
    <col width="16" customWidth="1" min="3" max="3"/>
  </cols>
  <sheetData>
    <row r="1">
      <c r="A1" s="1" t="inlineStr">
        <is>
          <t>Category</t>
        </is>
      </c>
      <c r="B1" s="1" t="inlineStr">
        <is>
          <t>Item</t>
        </is>
      </c>
      <c r="C1" s="1" t="inlineStr">
        <is>
          <t>Amount (USD)</t>
        </is>
      </c>
    </row>
    <row r="2">
      <c r="A2" s="2" t="inlineStr">
        <is>
          <t>Flights</t>
        </is>
      </c>
      <c r="B2" s="3" t="n"/>
      <c r="C2" s="3" t="n"/>
    </row>
    <row r="3">
      <c r="B3" s="4" t="inlineStr">
        <is>
          <t>UA 108 IAD→MUC Jul 11 + OS135/UA53 VIE→IAD Jul 21 (4 people, Standard Economy)</t>
        </is>
      </c>
      <c r="C3" s="5" t="n">
        <v>5422.52</v>
      </c>
    </row>
    <row r="4">
      <c r="A4" s="6" t="n"/>
      <c r="B4" s="7" t="inlineStr">
        <is>
          <t>Subtotal</t>
        </is>
      </c>
      <c r="C4" s="8">
        <f>SUM(C3:C3)</f>
        <v/>
      </c>
    </row>
    <row r="5">
      <c r="A5" s="2" t="inlineStr">
        <is>
          <t>Accommodation</t>
        </is>
      </c>
      <c r="B5" s="3" t="n"/>
      <c r="C5" s="3" t="n"/>
    </row>
    <row r="6">
      <c r="B6" s="4" t="inlineStr">
        <is>
          <t>Munich — Holiday Inn Westpark, 2 nights (Jul 12–14)</t>
        </is>
      </c>
      <c r="C6" s="5" t="n">
        <v>677.36</v>
      </c>
    </row>
    <row r="7">
      <c r="B7" s="9" t="inlineStr">
        <is>
          <t>Königssee — Villa Alpenrausch, 3 nights (Jul 14–17) *</t>
        </is>
      </c>
      <c r="C7" s="5" t="n">
        <v>1500</v>
      </c>
    </row>
    <row r="8">
      <c r="B8" s="4" t="inlineStr">
        <is>
          <t>Salzburg — Numa Vogelweider, 2 nights (Jul 17–19)</t>
        </is>
      </c>
      <c r="C8" s="5" t="n">
        <v>850.66</v>
      </c>
    </row>
    <row r="9">
      <c r="B9" s="4" t="inlineStr">
        <is>
          <t>Vienna — Hotel Marc Aurel, 2 nights (Jul 19–21)</t>
        </is>
      </c>
      <c r="C9" s="5" t="n">
        <v>609</v>
      </c>
    </row>
    <row r="10">
      <c r="A10" s="6" t="n"/>
      <c r="B10" s="7" t="inlineStr">
        <is>
          <t>Subtotal</t>
        </is>
      </c>
      <c r="C10" s="8">
        <f>SUM(C6:C9)</f>
        <v/>
      </c>
    </row>
    <row r="11">
      <c r="A11" s="2" t="inlineStr">
        <is>
          <t>Transport</t>
        </is>
      </c>
      <c r="B11" s="3" t="n"/>
      <c r="C11" s="3" t="n"/>
    </row>
    <row r="12">
      <c r="B12" s="9" t="inlineStr">
        <is>
          <t>Airport → city: MVV group day ticket (Jul 12) *</t>
        </is>
      </c>
      <c r="C12" s="5" t="n">
        <v>16</v>
      </c>
    </row>
    <row r="13">
      <c r="B13" s="9" t="inlineStr">
        <is>
          <t>Bayern-Ticket: Munich → Berchtesgaden (Jul 14, group) *</t>
        </is>
      </c>
      <c r="C13" s="5" t="n">
        <v>58</v>
      </c>
    </row>
    <row r="14">
      <c r="B14" s="9" t="inlineStr">
        <is>
          <t>Local buses Berchtesgaden area (Jul 15–16, ~€8/day) *</t>
        </is>
      </c>
      <c r="C14" s="5" t="n">
        <v>18</v>
      </c>
    </row>
    <row r="15">
      <c r="B15" s="9" t="inlineStr">
        <is>
          <t>Schönau → Salzburg: taxi to Freilassing + ÖBB (Jul 17) *</t>
        </is>
      </c>
      <c r="C15" s="5" t="n">
        <v>100</v>
      </c>
    </row>
    <row r="16">
      <c r="B16" s="9" t="inlineStr">
        <is>
          <t>ÖBB Railjet: Salzburg → Vienna (Jul 19, 4 people) *</t>
        </is>
      </c>
      <c r="C16" s="5" t="n">
        <v>120</v>
      </c>
    </row>
    <row r="17">
      <c r="B17" s="9" t="inlineStr">
        <is>
          <t>Vienna public transit (Jul 19–21) *</t>
        </is>
      </c>
      <c r="C17" s="5" t="n">
        <v>22</v>
      </c>
    </row>
    <row r="18">
      <c r="B18" s="9" t="inlineStr">
        <is>
          <t>CAT Wien Mitte → VIE airport (Jul 21, 4 people) *</t>
        </is>
      </c>
      <c r="C18" s="5" t="n">
        <v>52</v>
      </c>
    </row>
    <row r="19">
      <c r="A19" s="6" t="n"/>
      <c r="B19" s="7" t="inlineStr">
        <is>
          <t>Subtotal</t>
        </is>
      </c>
      <c r="C19" s="8">
        <f>SUM(C12:C18)</f>
        <v/>
      </c>
    </row>
    <row r="20">
      <c r="A20" s="2" t="inlineStr">
        <is>
          <t>Activities</t>
        </is>
      </c>
      <c r="B20" s="3" t="n"/>
      <c r="C20" s="3" t="n"/>
    </row>
    <row r="21">
      <c r="B21" s="9" t="inlineStr">
        <is>
          <t>Mike's Bike Tours Munich (4 people) *</t>
        </is>
      </c>
      <c r="C21" s="5" t="n">
        <v>160</v>
      </c>
    </row>
    <row r="22">
      <c r="B22" s="9" t="inlineStr">
        <is>
          <t>Nymphenburg Palace admission (4 people) *</t>
        </is>
      </c>
      <c r="C22" s="5" t="n">
        <v>44</v>
      </c>
    </row>
    <row r="23">
      <c r="B23" s="9" t="inlineStr">
        <is>
          <t>Eagle's Nest Kehlstein bus (4 people) *</t>
        </is>
      </c>
      <c r="C23" s="5" t="n">
        <v>80</v>
      </c>
    </row>
    <row r="24">
      <c r="B24" s="9" t="inlineStr">
        <is>
          <t>Königssee electric boat (4 people) *</t>
        </is>
      </c>
      <c r="C24" s="5" t="n">
        <v>88</v>
      </c>
    </row>
    <row r="25">
      <c r="B25" s="9" t="inlineStr">
        <is>
          <t>Hohensalzburg fortress admission (4 people) *</t>
        </is>
      </c>
      <c r="C25" s="5" t="n">
        <v>66</v>
      </c>
    </row>
    <row r="26">
      <c r="B26" s="9" t="inlineStr">
        <is>
          <t>St. Peter Stiftskeller dinner (4 people) *</t>
        </is>
      </c>
      <c r="C26" s="5" t="n">
        <v>220</v>
      </c>
    </row>
    <row r="27">
      <c r="B27" s="9" t="inlineStr">
        <is>
          <t>Schönbrunn Palace + maze (4 people) *</t>
        </is>
      </c>
      <c r="C27" s="5" t="n">
        <v>132</v>
      </c>
    </row>
    <row r="28">
      <c r="A28" s="6" t="n"/>
      <c r="B28" s="7" t="inlineStr">
        <is>
          <t>Subtotal</t>
        </is>
      </c>
      <c r="C28" s="8">
        <f>SUM(C21:C27)</f>
        <v/>
      </c>
    </row>
    <row r="29">
      <c r="A29" s="2" t="inlineStr">
        <is>
          <t>Meals &amp; Incidentals</t>
        </is>
      </c>
      <c r="B29" s="3" t="n"/>
      <c r="C29" s="3" t="n"/>
    </row>
    <row r="30">
      <c r="B30" s="9" t="inlineStr">
        <is>
          <t>Meals (~$150/day × 10 days) *</t>
        </is>
      </c>
      <c r="C30" s="5" t="n">
        <v>1500</v>
      </c>
    </row>
    <row r="31">
      <c r="B31" s="9" t="inlineStr">
        <is>
          <t>Miscellaneous / buffer *</t>
        </is>
      </c>
      <c r="C31" s="5" t="n">
        <v>500</v>
      </c>
    </row>
    <row r="32">
      <c r="A32" s="6" t="n"/>
      <c r="B32" s="7" t="inlineStr">
        <is>
          <t>Subtotal</t>
        </is>
      </c>
      <c r="C32" s="8">
        <f>SUM(C30:C31)</f>
        <v/>
      </c>
    </row>
    <row r="34">
      <c r="A34" s="10" t="inlineStr">
        <is>
          <t>TOTAL</t>
        </is>
      </c>
      <c r="B34" s="11" t="n"/>
      <c r="C34" s="12">
        <f>C4+C10+C19+C28+C32</f>
        <v/>
      </c>
    </row>
    <row r="36">
      <c r="A36" s="13" t="inlineStr">
        <is>
          <t>* = estimated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2026-06-07T11:29:41Z</dcterms:created>
  <dcterms:modified xmlns:dcterms="http://purl.org/dc/terms/" xmlns:xsi="http://www.w3.org/2001/XMLSchema-instance" xsi:type="dcterms:W3CDTF">2026-06-07T11:29:41Z</dcterms:modified>
</cp:coreProperties>
</file>