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imbu\Coding Projects\temp3\"/>
    </mc:Choice>
  </mc:AlternateContent>
  <xr:revisionPtr revIDLastSave="0" documentId="13_ncr:1_{F103B417-7593-44CD-8C27-3307D6157B96}" xr6:coauthVersionLast="47" xr6:coauthVersionMax="47" xr10:uidLastSave="{00000000-0000-0000-0000-000000000000}"/>
  <bookViews>
    <workbookView xWindow="-98" yWindow="-98" windowWidth="21795" windowHeight="13875" firstSheet="1" activeTab="5" xr2:uid="{00000000-000D-0000-FFFF-FFFF00000000}"/>
  </bookViews>
  <sheets>
    <sheet name="Summary" sheetId="1" r:id="rId1"/>
    <sheet name="Greece_Itinerary" sheetId="2" r:id="rId2"/>
    <sheet name="Bavaria_Itinerary" sheetId="3" r:id="rId3"/>
    <sheet name="StLucia_Itinerary" sheetId="4" r:id="rId4"/>
    <sheet name="Bavaria2_Itinerary" sheetId="5" r:id="rId5"/>
    <sheet name="Bavaria2_Itinerary (2)" sheetId="14" r:id="rId6"/>
    <sheet name="Greece2_Itinerary" sheetId="6" r:id="rId7"/>
    <sheet name="Greece_Costs" sheetId="7" r:id="rId8"/>
    <sheet name="Bavaria_Costs" sheetId="8" r:id="rId9"/>
    <sheet name="Bavaria2_Costs" sheetId="9" r:id="rId10"/>
    <sheet name="StLucia_Costs" sheetId="10" r:id="rId11"/>
    <sheet name="Greece2_Costs" sheetId="11" r:id="rId12"/>
    <sheet name="Cost_Comparison" sheetId="12" r:id="rId13"/>
    <sheet name="Source_Register" sheetId="13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2" l="1"/>
  <c r="F9" i="12"/>
  <c r="E9" i="12"/>
  <c r="D9" i="12"/>
  <c r="C9" i="12"/>
  <c r="B9" i="12"/>
  <c r="G8" i="12"/>
  <c r="G10" i="12" s="1"/>
  <c r="E8" i="12"/>
  <c r="E10" i="12" s="1"/>
  <c r="C8" i="12"/>
  <c r="C10" i="12" s="1"/>
  <c r="G7" i="12"/>
  <c r="F7" i="12"/>
  <c r="E7" i="12"/>
  <c r="D7" i="12"/>
  <c r="C7" i="12"/>
  <c r="B7" i="12"/>
  <c r="G6" i="12"/>
  <c r="F6" i="12"/>
  <c r="E6" i="12"/>
  <c r="D6" i="12"/>
  <c r="C6" i="12"/>
  <c r="B6" i="12"/>
  <c r="G5" i="12"/>
  <c r="F5" i="12"/>
  <c r="E5" i="12"/>
  <c r="D5" i="12"/>
  <c r="C5" i="12"/>
  <c r="B5" i="12"/>
  <c r="G4" i="12"/>
  <c r="F4" i="12"/>
  <c r="E4" i="12"/>
  <c r="D4" i="12"/>
  <c r="C4" i="12"/>
  <c r="B4" i="12"/>
  <c r="G3" i="12"/>
  <c r="F3" i="12"/>
  <c r="E3" i="12"/>
  <c r="D3" i="12"/>
  <c r="C3" i="12"/>
  <c r="B3" i="12"/>
  <c r="G2" i="12"/>
  <c r="F2" i="12"/>
  <c r="F8" i="12" s="1"/>
  <c r="F10" i="12" s="1"/>
  <c r="E2" i="12"/>
  <c r="D2" i="12"/>
  <c r="D8" i="12" s="1"/>
  <c r="D10" i="12" s="1"/>
  <c r="C2" i="12"/>
  <c r="B2" i="12"/>
  <c r="B8" i="12" s="1"/>
  <c r="B10" i="12" s="1"/>
  <c r="G21" i="11"/>
  <c r="F21" i="11"/>
  <c r="F3" i="1" s="1"/>
  <c r="E21" i="11"/>
  <c r="G27" i="10"/>
  <c r="G7" i="1" s="1"/>
  <c r="F27" i="10"/>
  <c r="H7" i="1" s="1"/>
  <c r="E27" i="10"/>
  <c r="E7" i="1" s="1"/>
  <c r="G26" i="10"/>
  <c r="G6" i="1" s="1"/>
  <c r="F26" i="10"/>
  <c r="H6" i="1" s="1"/>
  <c r="E26" i="10"/>
  <c r="E6" i="1" s="1"/>
  <c r="G27" i="9"/>
  <c r="G5" i="1" s="1"/>
  <c r="F27" i="9"/>
  <c r="F5" i="1" s="1"/>
  <c r="E27" i="9"/>
  <c r="G28" i="8"/>
  <c r="F28" i="8"/>
  <c r="E28" i="8"/>
  <c r="G23" i="7"/>
  <c r="F23" i="7"/>
  <c r="H2" i="1" s="1"/>
  <c r="E23" i="7"/>
  <c r="E5" i="1"/>
  <c r="H4" i="1"/>
  <c r="G4" i="1"/>
  <c r="F4" i="1"/>
  <c r="E4" i="1"/>
  <c r="H3" i="1"/>
  <c r="G3" i="1"/>
  <c r="E3" i="1"/>
  <c r="G2" i="1"/>
  <c r="F2" i="1"/>
  <c r="E2" i="1"/>
  <c r="H5" i="1" l="1"/>
  <c r="F6" i="1"/>
  <c r="F7" i="1"/>
</calcChain>
</file>

<file path=xl/sharedStrings.xml><?xml version="1.0" encoding="utf-8"?>
<sst xmlns="http://schemas.openxmlformats.org/spreadsheetml/2006/main" count="2249" uniqueCount="1043">
  <si>
    <t>Destination / Option</t>
  </si>
  <si>
    <t>Trip Character</t>
  </si>
  <si>
    <t>Ground Nights</t>
  </si>
  <si>
    <t>Flight Nights</t>
  </si>
  <si>
    <t>Low Total (USD)</t>
  </si>
  <si>
    <t>Mid Total (USD)</t>
  </si>
  <si>
    <t>High Total (USD)</t>
  </si>
  <si>
    <t>Cost/Night Mid</t>
  </si>
  <si>
    <t>Cost Confidence</t>
  </si>
  <si>
    <t>Logistics Friction</t>
  </si>
  <si>
    <t>Weather Risk July</t>
  </si>
  <si>
    <t>Cultural Depth</t>
  </si>
  <si>
    <t>Teen Appeal</t>
  </si>
  <si>
    <t>Key Strength</t>
  </si>
  <si>
    <t>Key Weakness</t>
  </si>
  <si>
    <t>Greece — Opt 1 (Cyclades)</t>
  </si>
  <si>
    <t>Ancient city + two-island Cyclades</t>
  </si>
  <si>
    <t>Medium</t>
  </si>
  <si>
    <t>Medium-High</t>
  </si>
  <si>
    <t>High (heat + meltemi)</t>
  </si>
  <si>
    <t>Highest</t>
  </si>
  <si>
    <t>High</t>
  </si>
  <si>
    <t>Most iconic and memorable trip</t>
  </si>
  <si>
    <t>Transfer drag; heat; Santorini crowds</t>
  </si>
  <si>
    <t>Greece — Opt 2 (Crete)</t>
  </si>
  <si>
    <t>Crete beaches + history + Athens day</t>
  </si>
  <si>
    <t>Moderate (heat; car on narrow roads)</t>
  </si>
  <si>
    <t>Most historically rich; car freedom; no ferry anxiety</t>
  </si>
  <si>
    <t>No Santorini caldera view; car adds rental/fuel complexity</t>
  </si>
  <si>
    <t>Bavaria + Salzburg</t>
  </si>
  <si>
    <t>Rail-based Alpine and city tour</t>
  </si>
  <si>
    <t>Moderate (mountain weather)</t>
  </si>
  <si>
    <t>Very High</t>
  </si>
  <si>
    <t>Most balanced and stress-light</t>
  </si>
  <si>
    <t>Weather-sensitive mountain days; over-design risk</t>
  </si>
  <si>
    <t>Bavaria — Opt 2 (Cities &amp; Castles)</t>
  </si>
  <si>
    <t>Cities and castles (Munich-Berchtesgaden-Salzburg)</t>
  </si>
  <si>
    <t>Low-Medium</t>
  </si>
  <si>
    <t>Neuschwanstein; Hallstatt; castle-focused; less hiking</t>
  </si>
  <si>
    <t>No alpine village base; Mittenwald removed; similar cost to Opt 1</t>
  </si>
  <si>
    <t>St. Lucia — Option A (All-Inclusive)</t>
  </si>
  <si>
    <t>Tropical adventure + resort base</t>
  </si>
  <si>
    <t>Low</t>
  </si>
  <si>
    <t>Moderate-High (hurricane season)</t>
  </si>
  <si>
    <t>Moderate</t>
  </si>
  <si>
    <t>Full 10 nights; easy logistics; all-in pricing</t>
  </si>
  <si>
    <t>Lower cultural depth; lodging cost dominates</t>
  </si>
  <si>
    <t>St. Lucia — Option B (Villa + Bay Gardens)</t>
  </si>
  <si>
    <t>Tropical adventure + villa/split</t>
  </si>
  <si>
    <t>Best value; most local feel</t>
  </si>
  <si>
    <t>One transfer mid-trip; more daily decisions</t>
  </si>
  <si>
    <t>Day</t>
  </si>
  <si>
    <t>Date</t>
  </si>
  <si>
    <t>Location</t>
  </si>
  <si>
    <t>Overnight</t>
  </si>
  <si>
    <t>Morning</t>
  </si>
  <si>
    <t>Afternoon</t>
  </si>
  <si>
    <t>Evening</t>
  </si>
  <si>
    <t>Transport</t>
  </si>
  <si>
    <t>Travel Time</t>
  </si>
  <si>
    <t>Book Ahead</t>
  </si>
  <si>
    <t>Weather Sensitive</t>
  </si>
  <si>
    <t>Backup Option</t>
  </si>
  <si>
    <t>Est. Daily Cost (Family USD)</t>
  </si>
  <si>
    <t>Notes</t>
  </si>
  <si>
    <t>Sat Jul 11</t>
  </si>
  <si>
    <t>DC → Athens</t>
  </si>
  <si>
    <t>In-flight</t>
  </si>
  <si>
    <t>Airport departure</t>
  </si>
  <si>
    <t>Transatlantic flight</t>
  </si>
  <si>
    <t>IAD nonstop or via FRA/IST</t>
  </si>
  <si>
    <t>Y</t>
  </si>
  <si>
    <t>N</t>
  </si>
  <si>
    <t>None</t>
  </si>
  <si>
    <t>Europe clock begins on flight night</t>
  </si>
  <si>
    <t>Sun Jul 12</t>
  </si>
  <si>
    <t>Athens</t>
  </si>
  <si>
    <t>Arrive ATH; airport express train; hotel check-in</t>
  </si>
  <si>
    <t>Plaka walk; Anafiotika lanes; light lunch</t>
  </si>
  <si>
    <t>Rooftop dinner with Acropolis view</t>
  </si>
  <si>
    <t>Airport express train</t>
  </si>
  <si>
    <t>40 min</t>
  </si>
  <si>
    <t>Pool/nap day</t>
  </si>
  <si>
    <t>Keep light; absorb jet lag</t>
  </si>
  <si>
    <t>Mon Jul 13</t>
  </si>
  <si>
    <t>Acropolis at 8 am (timed entry required)</t>
  </si>
  <si>
    <t>Acropolis Museum; shaded lunch; siesta during peak heat</t>
  </si>
  <si>
    <t>Athens food tour or Monastiraki evening</t>
  </si>
  <si>
    <t>Local metro/taxi</t>
  </si>
  <si>
    <t>Local</t>
  </si>
  <si>
    <t>Y (Acropolis tickets)</t>
  </si>
  <si>
    <t>Y (heat)</t>
  </si>
  <si>
    <t>Museum first if very hot</t>
  </si>
  <si>
    <t>Book Acropolis timed entry well in advance</t>
  </si>
  <si>
    <t>Tue Jul 14</t>
  </si>
  <si>
    <t>Athens → Naxos</t>
  </si>
  <si>
    <t>Naxos</t>
  </si>
  <si>
    <t>Blue Star ferry from Piraeus ~07:30</t>
  </si>
  <si>
    <t>Arrive Naxos ~13:00; check in; Agios Georgios beach</t>
  </si>
  <si>
    <t>Sunset at the Portara; dinner in Chora</t>
  </si>
  <si>
    <t>Piraeus ferry</t>
  </si>
  <si>
    <t>5.5 hrs</t>
  </si>
  <si>
    <t>Y (wind)</t>
  </si>
  <si>
    <t>Fly ATH–JNX if seas rough</t>
  </si>
  <si>
    <t>Blue Star more wind-stable than Seajets; recommended for Piraeus–Naxos</t>
  </si>
  <si>
    <t>Wed Jul 15</t>
  </si>
  <si>
    <t>Mount Zas hike (start 6:30 am; 3–4 hrs RT; Zeus's Cave en route)</t>
  </si>
  <si>
    <t>Lunch in Filoti; taxi to Apeiranthos marble village</t>
  </si>
  <si>
    <t>Halki village; citron distillery tasting; dinner in Chora</t>
  </si>
  <si>
    <t>Bus or local taxi</t>
  </si>
  <si>
    <t>Half-day</t>
  </si>
  <si>
    <t>Y (summit heat)</t>
  </si>
  <si>
    <t>Village loop without the summit hike</t>
  </si>
  <si>
    <t>Hire taxi for village loop ~€80 half-day</t>
  </si>
  <si>
    <t>Thu Jul 16</t>
  </si>
  <si>
    <t>Half-day catamaran with snorkeling (departs Chora ~10 am)</t>
  </si>
  <si>
    <t>Plaka or Agia Anna beach</t>
  </si>
  <si>
    <t>Waterfront dinner in Naxos Town</t>
  </si>
  <si>
    <t>Boat; local bus</t>
  </si>
  <si>
    <t>Full morning</t>
  </si>
  <si>
    <t>Y (wind cancels boats)</t>
  </si>
  <si>
    <t>Pure beach day at Plaka if winds strong</t>
  </si>
  <si>
    <t>Book catamaran 1–2 weeks ahead; best teen day on Naxos</t>
  </si>
  <si>
    <t>Fri Jul 17</t>
  </si>
  <si>
    <t>Naxos → Santorini</t>
  </si>
  <si>
    <t>Santorini</t>
  </si>
  <si>
    <t>Late beach swim; lunch in Chora</t>
  </si>
  <si>
    <t>Seajets fast ferry to Santorini (~1.5 hrs); check in to Imerovigli</t>
  </si>
  <si>
    <t>Skaros Rock sunset walk; dinner in Imerovigli</t>
  </si>
  <si>
    <t>Seajets</t>
  </si>
  <si>
    <t>1.5 hrs</t>
  </si>
  <si>
    <t>Y (wind cancels Seajets)</t>
  </si>
  <si>
    <t>Blue Star backup or fly JNX–JTR</t>
  </si>
  <si>
    <t>Book Seajets early; July Fridays fill fast</t>
  </si>
  <si>
    <t>Sat Jul 18</t>
  </si>
  <si>
    <t>Fira-to-Oia caldera hike (start 6:30 am; 10 km; ~3.5 hrs)</t>
  </si>
  <si>
    <t>Oia exploration; lunch; bus/taxi back</t>
  </si>
  <si>
    <t>Dinner in Imerovigli</t>
  </si>
  <si>
    <t>Walk + bus/taxi</t>
  </si>
  <si>
    <t>3.5 hrs hiking</t>
  </si>
  <si>
    <t>Sleep in; taxi to Oia instead</t>
  </si>
  <si>
    <t>Start at dawn; heat arrives fast; single best free activity in Greece</t>
  </si>
  <si>
    <t>Sun Jul 19</t>
  </si>
  <si>
    <t>Caldera catamaran tour (volcano + hot springs + Red Beach; ~5 hrs)</t>
  </si>
  <si>
    <t>Akrotiri archaeological site (€15/adult)</t>
  </si>
  <si>
    <t>Quiet caldera viewpoint dinner</t>
  </si>
  <si>
    <t>Catamaran + taxi</t>
  </si>
  <si>
    <t>Full day</t>
  </si>
  <si>
    <t>Y (boat cancels in wind)</t>
  </si>
  <si>
    <t>Akrotiri + Red Beach by land if seas rough</t>
  </si>
  <si>
    <t>Akrotiri requires timed entry; book ahead</t>
  </si>
  <si>
    <t>Mon Jul 20</t>
  </si>
  <si>
    <t>Santorini → Athens</t>
  </si>
  <si>
    <t>Athens (airport area)</t>
  </si>
  <si>
    <t>Aegean Airlines morning flight to ATH (~50 min)</t>
  </si>
  <si>
    <t>Buffer afternoon in Athens; Stavros Niarchos or Syntagma stroll</t>
  </si>
  <si>
    <t>Early dinner; airport-area hotel (Sofitel Athens Airport)</t>
  </si>
  <si>
    <t>Domestic flight</t>
  </si>
  <si>
    <t>50 min + transfer</t>
  </si>
  <si>
    <t>Piraeus fast ferry as backup</t>
  </si>
  <si>
    <t>Never put international departure at risk of a ferry delay</t>
  </si>
  <si>
    <t>Tue Jul 21</t>
  </si>
  <si>
    <t>Athens → DC</t>
  </si>
  <si>
    <t>At home</t>
  </si>
  <si>
    <t>Depart ATH</t>
  </si>
  <si>
    <t>Transatlantic home</t>
  </si>
  <si>
    <t>Arrive DC</t>
  </si>
  <si>
    <t>IAD nonstop or connecting</t>
  </si>
  <si>
    <t>Long-haul</t>
  </si>
  <si>
    <t>DC → Munich</t>
  </si>
  <si>
    <t>Overnight transatlantic</t>
  </si>
  <si>
    <t>IAD nonstop (Lufthansa/United)</t>
  </si>
  <si>
    <t>~8–10 hrs</t>
  </si>
  <si>
    <t>Munich</t>
  </si>
  <si>
    <t>Arrive MUC ~9–10 am; S-Bahn to city; hotel check-in</t>
  </si>
  <si>
    <t>Marienplatz; Viktualienmarkt; Glockenspiel at noon</t>
  </si>
  <si>
    <t>Englischer Garten + Eisbach surfers; beer garden dinner</t>
  </si>
  <si>
    <t>S-Bahn S1/S8</t>
  </si>
  <si>
    <t>40–50 min</t>
  </si>
  <si>
    <t>Hotel pool/nap day</t>
  </si>
  <si>
    <t>Eisbach river surfers free; a genuine teen highlight</t>
  </si>
  <si>
    <t>Deutsches Museum (4–5 hrs; €15/adult; €4.50/youth)</t>
  </si>
  <si>
    <t>BMW Welt (free) + BMW Museum (€10/adult)</t>
  </si>
  <si>
    <t>Hofbräuhaus or neighborhood beer garden</t>
  </si>
  <si>
    <t>Local U-Bahn</t>
  </si>
  <si>
    <t>Extra museum day; Alte Pinakothek alternative</t>
  </si>
  <si>
    <t>BMW Welt is free and worth 2 hrs even for non-car people</t>
  </si>
  <si>
    <t>Munich → Mittenwald</t>
  </si>
  <si>
    <t>Mittenwald</t>
  </si>
  <si>
    <t>RB6 train to Mittenwald (1h 50m)</t>
  </si>
  <si>
    <t>Lüftlmalerei painted houses; Geigenbaumuseum (€5.50)</t>
  </si>
  <si>
    <t>Karwendelbahn cable car at sunset (optional; free under 15); dinner at Gasthof</t>
  </si>
  <si>
    <t>Bayern-Ticket + RB6</t>
  </si>
  <si>
    <t>1h 50m</t>
  </si>
  <si>
    <t>Y (Bayern-Ticket)</t>
  </si>
  <si>
    <t>Slow afternoon if tired</t>
  </si>
  <si>
    <t>Bayern-Ticket: 14yo rides free; 17yo = adult; €49/family</t>
  </si>
  <si>
    <t>Garmisch day trip</t>
  </si>
  <si>
    <t>RB train to Garmisch (~20 min); Partnach Gorge (€7/adult)</t>
  </si>
  <si>
    <t>Alpspitzbahn panorama (~€30/adult) or summer luge</t>
  </si>
  <si>
    <t>Return to Mittenwald; dinner</t>
  </si>
  <si>
    <t>Bayern-Ticket + regional train</t>
  </si>
  <si>
    <t>20 min each way</t>
  </si>
  <si>
    <t>Easy valley walk in Garmisch if crowded</t>
  </si>
  <si>
    <t>Partnach Gorge is underrated; good in heat</t>
  </si>
  <si>
    <t>Zugspitze or Leutaschklamm</t>
  </si>
  <si>
    <t>Check zugspitze.de webcam at 7 am. Clear → Zugspitze cogwheel + cable car (~$195 family). Socked in → Leutaschklamm gorge (€5/adult)</t>
  </si>
  <si>
    <t>Summit/gorge; Eibsee for swim if Zugspitze</t>
  </si>
  <si>
    <t>Lautersee or Ferchensee lake swim; dinner</t>
  </si>
  <si>
    <t>Bayern-Ticket + cogwheel train</t>
  </si>
  <si>
    <t>1.5 hrs to summit from Garmisch</t>
  </si>
  <si>
    <t>Y (cable car tickets)</t>
  </si>
  <si>
    <t>Y (Zugspitze critical)</t>
  </si>
  <si>
    <t>Leutaschklamm + Lautersee lake swim (equally good day)</t>
  </si>
  <si>
    <t>Never commit to Zugspitze without checking the webcam that morning</t>
  </si>
  <si>
    <t>Mittenwald → Berchtesgaden</t>
  </si>
  <si>
    <t>Berchtesgaden</t>
  </si>
  <si>
    <t>Mittenwald → Munich (1h 50m) + Munich → Berchtesgaden via Freilassing (2h 30m)</t>
  </si>
  <si>
    <t>Arrive mid-afternoon; Old Town walk; Royal Palace square</t>
  </si>
  <si>
    <t>Local dinner; early night</t>
  </si>
  <si>
    <t>Bayern-Ticket + regional rail</t>
  </si>
  <si>
    <t>4h 20m total</t>
  </si>
  <si>
    <t>Break in Munich midway if needed</t>
  </si>
  <si>
    <t>Longest luggage day; start ~9 am</t>
  </si>
  <si>
    <t>Königssee</t>
  </si>
  <si>
    <t>Bus 841 to Königssee dock (~10 min); first electric boat to St. Bartholomä — cliff-echo flugelhorn</t>
  </si>
  <si>
    <t>Hike Salet → Obersee (1.5 km; hidden glacial lake beyond the crowds)</t>
  </si>
  <si>
    <t>Return by boat; optional salt mine tour (€23/adult)</t>
  </si>
  <si>
    <t>Bus 841 + electric boat</t>
  </si>
  <si>
    <t>10 min bus + 35 min each way boat</t>
  </si>
  <si>
    <t>Y (tickets at dock)</t>
  </si>
  <si>
    <t>Y (weather-dependent)</t>
  </si>
  <si>
    <t>Documentation Center Obersalzberg (indoor)</t>
  </si>
  <si>
    <t>Take first morning boat; crowds build fast after 10 am</t>
  </si>
  <si>
    <t>Eagle's Nest + Salzburg</t>
  </si>
  <si>
    <t>Salzburg</t>
  </si>
  <si>
    <t>Bus 838; Documentation Center Obersalzberg (€6/adult); Kehlstein bus + tunnel elevator to Eagle's Nest (€36.10/adult; €21/youth; credit card only)</t>
  </si>
  <si>
    <t>Lunch at Kehlsteinhaus with Watzmann views</t>
  </si>
  <si>
    <t>Bus 840 Watzmann Express to Salzburg (50 min; ~€11/adult); Old Town evening stroll</t>
  </si>
  <si>
    <t>Bus 838 + Kehlstein bus + Bus 840</t>
  </si>
  <si>
    <t>~2 hrs activity + 50 min transfer</t>
  </si>
  <si>
    <t>Y (Eagle's Nest seasonal)</t>
  </si>
  <si>
    <t>Y (closes in cloud/wind)</t>
  </si>
  <si>
    <t>Königssee 2nd day or Ramsau valley hike</t>
  </si>
  <si>
    <t>Eagle's Nest is historically moving; one of the best teen experiences on the trip</t>
  </si>
  <si>
    <t>Hohensalzburg Fortress funicular (€14.50/adult; €8.30/youth)</t>
  </si>
  <si>
    <t>Mirabell Gardens (free); Mozart's Birthplace (€13.50/adult); Getreidegasse stroll</t>
  </si>
  <si>
    <t>St. Peter Stiftskeller dinner (Europe's oldest restaurant; book ahead)</t>
  </si>
  <si>
    <t>Walk + local bus</t>
  </si>
  <si>
    <t>Y (restaurant)</t>
  </si>
  <si>
    <t>Salzburg Card if doing 3+ paid sites</t>
  </si>
  <si>
    <t>Compact walkable city; one of the most enjoyable low-effort days on this trip</t>
  </si>
  <si>
    <t>Salzburg → Munich → DC</t>
  </si>
  <si>
    <t>ÖBB Railjet 06:23 or 07:11 Salzburg → Munich (1h 28m; book seat reservation ~$30/pp, 3–4 wks ahead)</t>
  </si>
  <si>
    <t>S-Bahn S1/S8 to MUC airport (40 min); fly home</t>
  </si>
  <si>
    <t>Railjet + S-Bahn</t>
  </si>
  <si>
    <t>2h 10m total</t>
  </si>
  <si>
    <t>Y (Railjet reservation)</t>
  </si>
  <si>
    <t>Leave Salzburg by 7:15 am for a midday MUC departure</t>
  </si>
  <si>
    <t>DC → St. Lucia</t>
  </si>
  <si>
    <t>Soufrière (B) / Coconut Bay (A)</t>
  </si>
  <si>
    <t>Drive to PHL; AA nonstop afternoon flight</t>
  </si>
  <si>
    <t>Arrive UVF ~6–7 pm; transfer to lodging</t>
  </si>
  <si>
    <t>Welcome dinner; early sleep</t>
  </si>
  <si>
    <t>PHL→UVF AA nonstop</t>
  </si>
  <si>
    <t>4h 45m + 50 min transfer</t>
  </si>
  <si>
    <t>Airport-area overnight if very late</t>
  </si>
  <si>
    <t>Full 10 nights on island; same-day arrival is key advantage over Europe</t>
  </si>
  <si>
    <t>Soufrière</t>
  </si>
  <si>
    <t>Soufrière area</t>
  </si>
  <si>
    <t>Recovery day: villa pool or resort beach</t>
  </si>
  <si>
    <t>Light explore of Soufrière town; local lunch</t>
  </si>
  <si>
    <t>Piton-view dinner at local restaurant</t>
  </si>
  <si>
    <t>Walk / short taxi</t>
  </si>
  <si>
    <t>Y (modest)</t>
  </si>
  <si>
    <t>Fully unprogrammed rest day</t>
  </si>
  <si>
    <t>Protect this day from over-programming; the family needs to settle in</t>
  </si>
  <si>
    <t>Soufrière highlights</t>
  </si>
  <si>
    <t>Sulphur Springs drive-in volcano (~$10/pp + $5 mud bath)</t>
  </si>
  <si>
    <t>Toraille Waterfall ($5/pp) + Diamond Botanical Gardens + Mineral Baths ($10/adult)</t>
  </si>
  <si>
    <t>Local dinner in Soufrière</t>
  </si>
  <si>
    <t>Half-day driver (~$80 family)</t>
  </si>
  <si>
    <t>Y (driver)</t>
  </si>
  <si>
    <t>Y (mild)</t>
  </si>
  <si>
    <t>Swap with Tet Paul Nature Trail if energy low</t>
  </si>
  <si>
    <t>Hire one driver for all three sites; best all-in-one iconic SL day</t>
  </si>
  <si>
    <t>Gros Piton hike</t>
  </si>
  <si>
    <t>6:30 am pickup; Gros Piton summit hike (3.5–4 hrs RT; $50/pp trail fee + mandatory guide)</t>
  </si>
  <si>
    <t>Descend; lunch in Soufrière</t>
  </si>
  <si>
    <t>Pool recovery; early dinner</t>
  </si>
  <si>
    <t>Prebooked transfer</t>
  </si>
  <si>
    <t>45 min to trailhead</t>
  </si>
  <si>
    <t>Y (guide required)</t>
  </si>
  <si>
    <t>Y (not in heavy rain)</t>
  </si>
  <si>
    <t>Tet Paul Nature Trail as lower-intensity alternative</t>
  </si>
  <si>
    <t>Mandatory guide is a plus — they know the mountain and the flora</t>
  </si>
  <si>
    <t>Full-day catamaran</t>
  </si>
  <si>
    <t>Sea Spray 'Tout Bagay' or equivalent (~$140/adult; $80/child); departs Rodney Bay or Marigot Bay — Soufrière by sea; Sulphur Springs; Anse Cochon snorkel; open bar</t>
  </si>
  <si>
    <t>Continue cruise</t>
  </si>
  <si>
    <t>Return early evening; resort/villa dinner</t>
  </si>
  <si>
    <t>Prebooked catamaran</t>
  </si>
  <si>
    <t>Y (1–2 wks ahead)</t>
  </si>
  <si>
    <t>Y (seas must be calm)</t>
  </si>
  <si>
    <t>Land-based Soufrière tour if seas rough</t>
  </si>
  <si>
    <t>Book early; this is the best teen day on the island</t>
  </si>
  <si>
    <t>Rainforest zip-line</t>
  </si>
  <si>
    <t>Rainforest Adventures aerial tram + zip-line or Morne Coubaril Estate zip-line with cocoa tour (~$90–95/adult; $75/youth; min age 8; max 290 lbs)</t>
  </si>
  <si>
    <t>Villa or resort pool; afternoon downtime</t>
  </si>
  <si>
    <t>Casual dinner; pack for transfer</t>
  </si>
  <si>
    <t>Prebooked shuttle</t>
  </si>
  <si>
    <t>~30–45 min</t>
  </si>
  <si>
    <t>Y (avoid lightning)</t>
  </si>
  <si>
    <t>Cocoa estate tour only if weather poor</t>
  </si>
  <si>
    <t>Morne Coubaril combines zip-line with cocoa estate for cultural depth</t>
  </si>
  <si>
    <t>Soufrière → Rodney Bay</t>
  </si>
  <si>
    <t>Rodney Bay area</t>
  </si>
  <si>
    <t>Late breakfast; optional Tet Paul Nature Trail en route ($10/pp; easy 45-min; best dual-Piton panoramic view)</t>
  </si>
  <si>
    <t>Transfer north to Bay Gardens Beach Resort (~2 hrs by road or catamaran water taxi)</t>
  </si>
  <si>
    <t>Anse La Raye Fish Fry (local village; grilled lobster; breadfruit; rum punch; best food experience on island)</t>
  </si>
  <si>
    <t>Private taxi or catamaran water taxi</t>
  </si>
  <si>
    <t>1.5–2 hrs</t>
  </si>
  <si>
    <t>Y (resort; Fish Fry)</t>
  </si>
  <si>
    <t>Skip Tet Paul; go straight north</t>
  </si>
  <si>
    <t>Anse La Raye Fish Fry runs Friday and Saturday; arrange return transport ($30–40)</t>
  </si>
  <si>
    <t>Rodney Bay / Gros Islet</t>
  </si>
  <si>
    <t>Reduit Beach morning</t>
  </si>
  <si>
    <t>Pigeon Island National Park ($11/adult; Fort Rodney ruins; 18th-century cannons)</t>
  </si>
  <si>
    <t>Jambe de Bois café at Pigeon Island; marina sundowners</t>
  </si>
  <si>
    <t>Short taxi</t>
  </si>
  <si>
    <t>15 min each way</t>
  </si>
  <si>
    <t>Extra beach day at Reduit</t>
  </si>
  <si>
    <t>Pigeon Island is underrated; teens like the fort ruins</t>
  </si>
  <si>
    <t>Snorkel + downtime</t>
  </si>
  <si>
    <t>Anse Chastanet snorkel (boat transfer ~$40/pp; turtles; parrotfish; reef drops off beach)</t>
  </si>
  <si>
    <t>Afternoon beach club; sunbeds; beach bar</t>
  </si>
  <si>
    <t>Sunset dinner at marina restaurant</t>
  </si>
  <si>
    <t>Boat or taxi</t>
  </si>
  <si>
    <t>30–45 min to Anse Chastanet</t>
  </si>
  <si>
    <t>Optional</t>
  </si>
  <si>
    <t>Y (visibility-dependent)</t>
  </si>
  <si>
    <t>Pure resort beach day</t>
  </si>
  <si>
    <t>Anse Chastanet reef is worth the transfer</t>
  </si>
  <si>
    <t>Reserve / flexible</t>
  </si>
  <si>
    <t>Weather makeup day or pure downtime — pre-book nothing</t>
  </si>
  <si>
    <t>Shopping; final swim; Castries market visit</t>
  </si>
  <si>
    <t>Farewell dinner; pack</t>
  </si>
  <si>
    <t>Leave unplanned by design</t>
  </si>
  <si>
    <t>Most important day to protect from pre-programming in July hurricane season</t>
  </si>
  <si>
    <t>St. Lucia → DC</t>
  </si>
  <si>
    <t>Resort shuttle to UVF (~1.5 hrs from Rodney Bay)</t>
  </si>
  <si>
    <t>AA nonstop UVF → PHL (~4h 45m); arrive ~7 pm; drive home</t>
  </si>
  <si>
    <t>Taxi + AA nonstop</t>
  </si>
  <si>
    <t>1.5 hrs + 4h 45m</t>
  </si>
  <si>
    <t>Neuschwanstein day trip</t>
  </si>
  <si>
    <t>Regional train to Füssen (~2 hrs); bus to castle; timed interior tour</t>
  </si>
  <si>
    <t>Marienbrücke bridge view over gorge; optional Hohenschwangau Castle</t>
  </si>
  <si>
    <t>Return to Munich; dinner</t>
  </si>
  <si>
    <t>2 hrs each way</t>
  </si>
  <si>
    <t>Y (Neuschwanstein timed entry — book immediately)</t>
  </si>
  <si>
    <t>Exterior + Marienbrücke if interior sells out</t>
  </si>
  <si>
    <t>Book timed entry at tickets.hohenschwangau.de immediately; July sells out weeks ahead; under 18 free</t>
  </si>
  <si>
    <t>Nymphenburg Palace + formal gardens (~2 hrs; €15/adult)</t>
  </si>
  <si>
    <t>Olympic Park grounds (free) + Maximilianstrasse or Schwabing district</t>
  </si>
  <si>
    <t>Dinner in Munich</t>
  </si>
  <si>
    <t>U-Bahn + local</t>
  </si>
  <si>
    <t>Dachau Memorial if family interested in WWII history</t>
  </si>
  <si>
    <t>Nymphenburg is a genuine royal palace; canals and formal gardens free even without entry</t>
  </si>
  <si>
    <t>Munich → Berchtesgaden</t>
  </si>
  <si>
    <t>Check out; regional train to Berchtesgaden (~2.5 hrs via Freilassing)</t>
  </si>
  <si>
    <t>Arrive mid-afternoon; Berchtesgaden Old Town walk; Royal Palace square</t>
  </si>
  <si>
    <t>Dinner at local Gasthof; early night</t>
  </si>
  <si>
    <t>~2h 30m</t>
  </si>
  <si>
    <t>Bayern-Ticket covers the full day; straightforward connection</t>
  </si>
  <si>
    <t>Return by boat; afternoon rest or Old Town walk</t>
  </si>
  <si>
    <t>Dinner in Berchtesgaden</t>
  </si>
  <si>
    <t>Y (boat dock)</t>
  </si>
  <si>
    <t>Berchtesgaden → Salzburg</t>
  </si>
  <si>
    <t>Bus 838; Documentation Center Obersalzberg (€6/adult); Kehlstein bus + tunnel elevator to Eagle's Nest (€36.10/adult; €21/youth)</t>
  </si>
  <si>
    <t>Berchtesgaden salt mine (~1.5 hrs; €23/adult) — core plan, not optional</t>
  </si>
  <si>
    <t>Bus 840 to Salzburg (~50 min); check in; light dinner</t>
  </si>
  <si>
    <t>Bus 838 + Bus 840</t>
  </si>
  <si>
    <t>Y (Eagle's Nest closes in cloud/wind)</t>
  </si>
  <si>
    <t>Salt mine only + travel to Salzburg if Eagle's Nest closed</t>
  </si>
  <si>
    <t>Eagle's Nest historically moving; salt mine adds variety; Day 8 is full but manageable</t>
  </si>
  <si>
    <t>Y (restaurant reservation)</t>
  </si>
  <si>
    <t>Hallstatt day trip</t>
  </si>
  <si>
    <t>Regional train + bus to Hallstatt (~1.5 hrs each way); lake village walk; boat across the Hallstätter See</t>
  </si>
  <si>
    <t>Hallstatt salt mine museum (~1 hr); Beinhaus charnel house (unusual and memorable); lakeside lunch</t>
  </si>
  <si>
    <t>Return to Salzburg; evening Salzach riverside walk</t>
  </si>
  <si>
    <t>Regional train + bus</t>
  </si>
  <si>
    <t>1.5 hrs each way</t>
  </si>
  <si>
    <t>Salzburg Museum der Moderne or Sound of Music tour instead</t>
  </si>
  <si>
    <t>Arrive early to beat tour buses; Hallstatt is UNESCO-listed and unmistakably beautiful</t>
  </si>
  <si>
    <t>Athens → Chania</t>
  </si>
  <si>
    <t>Chania area</t>
  </si>
  <si>
    <t>Arrive ATH; connect to CHQ (Aegean ~50 min)</t>
  </si>
  <si>
    <t>Pick up rental car (CHQ airport); check in to Chania beach hotel</t>
  </si>
  <si>
    <t>Easy beach swim; dinner near hotel</t>
  </si>
  <si>
    <t>ATH→CHQ domestic + rental car pickup</t>
  </si>
  <si>
    <t>~50 min flight + 20 min to hotel</t>
  </si>
  <si>
    <t>Y (Aegean domestic)</t>
  </si>
  <si>
    <t>Relax at hotel on delayed arrival</t>
  </si>
  <si>
    <t>Agia Marina / Stalos area; beach within walking distance of hotel</t>
  </si>
  <si>
    <t>Recovery beach morning; pool time</t>
  </si>
  <si>
    <t>Pool or beach; light lunch near hotel</t>
  </si>
  <si>
    <t>Chania Old Town + Venetian Harbor evening walk</t>
  </si>
  <si>
    <t>Short drive (~15 min)</t>
  </si>
  <si>
    <t>Full beach day</t>
  </si>
  <si>
    <t>Chania Old Town is walkable; Venetian lighthouse is free</t>
  </si>
  <si>
    <t>West Crete</t>
  </si>
  <si>
    <t>Balos Lagoon (early start) — Kissamos ferry (~1.5 hrs) or drive to overlook</t>
  </si>
  <si>
    <t>Beach / swim at Balos or Falassarna (nearby alternative)</t>
  </si>
  <si>
    <t>Casual seafood dinner; return to hotel</t>
  </si>
  <si>
    <t>Rental car + Kissamos ferry</t>
  </si>
  <si>
    <t>~1.5 hrs each way ferry</t>
  </si>
  <si>
    <t>Y (Kissamos ferry)</t>
  </si>
  <si>
    <t>Y (ferry cancels in wind)</t>
  </si>
  <si>
    <t>Falassarna beach by car — equally scenic; no ferry</t>
  </si>
  <si>
    <t>Balos ferry fills in July — pre-book Kissamos ferry tickets</t>
  </si>
  <si>
    <t>Chania / villages</t>
  </si>
  <si>
    <t>Chania Old Town covered market + municipal market; morning shop</t>
  </si>
  <si>
    <t>Inland village drive (Vamos or Gavalochori); olive oil tasting</t>
  </si>
  <si>
    <t>Dinner in Chania</t>
  </si>
  <si>
    <t>Rental car</t>
  </si>
  <si>
    <t>~30 min to villages</t>
  </si>
  <si>
    <t>Extra beach morning instead</t>
  </si>
  <si>
    <t>Cretan olive oil tasting ~€20/pp; village kafeneion lunch is good value</t>
  </si>
  <si>
    <t>Imbros Gorge</t>
  </si>
  <si>
    <t>Imbros Gorge hike early start (~7 am; 8 km point-to-point; ~3.5 hrs)</t>
  </si>
  <si>
    <t>South coast lunch in Sfakia; swim at Sweetwater Beach (short boat from Sfakia)</t>
  </si>
  <si>
    <t>Low-key evening; early dinner; pack for drive east tomorrow</t>
  </si>
  <si>
    <t>Rental car (~45 min to trailhead)</t>
  </si>
  <si>
    <t>45 min drive; 3.5 hr hike</t>
  </si>
  <si>
    <t>Y (heat — start early)</t>
  </si>
  <si>
    <t>Beach day at Frangokastello instead</t>
  </si>
  <si>
    <t>Gorge entry ~€5/pp; arrange taxi back from Sfakia (~€15 total)</t>
  </si>
  <si>
    <t>Chania → East Crete</t>
  </si>
  <si>
    <t>East Crete</t>
  </si>
  <si>
    <t>Check out; leisurely drive east on E75 (2.5–3 hrs total)</t>
  </si>
  <si>
    <t>Stop Rethymno Old Town — Venetian fortress (Fortezza), harbor lunch (~1 hr)</t>
  </si>
  <si>
    <t>Check in Agios Nikolaos; seaside harbor dinner</t>
  </si>
  <si>
    <t>Rental car (~2.5–3 hrs with stop)</t>
  </si>
  <si>
    <t>2.5–3 hrs driving</t>
  </si>
  <si>
    <t>Skip Rethymno if tired; drive straight</t>
  </si>
  <si>
    <t>Rethymno Fortezza ~€5 entry; worth 30–45 min; harbor seafood lunch</t>
  </si>
  <si>
    <t>East Crete — mythology day</t>
  </si>
  <si>
    <t>Knossos Palace early (opens 8 am; 1.5–2 hrs; book timed entry)</t>
  </si>
  <si>
    <t>Heraklion Archaeological Museum (2–3 hrs; excellent A/C midday)</t>
  </si>
  <si>
    <t>Heraklion harbor dinner; return to Agios Nikolaos (~1 hr)</t>
  </si>
  <si>
    <t>Rental car (~1 hr to Heraklion)</t>
  </si>
  <si>
    <t>~1 hr each way</t>
  </si>
  <si>
    <t>Y (Knossos timed entry)</t>
  </si>
  <si>
    <t>Museum only if exhausted</t>
  </si>
  <si>
    <t>Knossos + museum make the strongest possible Minoan double; don't split</t>
  </si>
  <si>
    <t>East Crete — island day</t>
  </si>
  <si>
    <t>Spinalonga boat trip from Elounda (~20 min crossing; 1.5 hrs on island)</t>
  </si>
  <si>
    <t>Beach or pool afternoon in Elounda</t>
  </si>
  <si>
    <t>Elounda or Agios Nikolaos harbor dinner</t>
  </si>
  <si>
    <t>Rental car + local boat</t>
  </si>
  <si>
    <t>20 min boat each way</t>
  </si>
  <si>
    <t>Y (morning boat)</t>
  </si>
  <si>
    <t>Agios Nikolaos Archaeological Museum if seas rough</t>
  </si>
  <si>
    <t>Spinalonga leper colony island is historically striking; book early boat to avoid crowds</t>
  </si>
  <si>
    <t>Crete → Athens</t>
  </si>
  <si>
    <t>Return rental car at HER airport; fly HER→ATH (Aegean ~45 min)</t>
  </si>
  <si>
    <t>Check in Athens (Plaka or Koukaki area); afternoon rest</t>
  </si>
  <si>
    <t>Plaka walk + rooftop dinner with Acropolis view</t>
  </si>
  <si>
    <t>Rental car → HER + domestic flight</t>
  </si>
  <si>
    <t>~45 min flight</t>
  </si>
  <si>
    <t>Y (Aegean; rental return timing)</t>
  </si>
  <si>
    <t>Airport hotel if very late arrival</t>
  </si>
  <si>
    <t>Return car before check-in to avoid Athens city parking fees</t>
  </si>
  <si>
    <t>Acropolis timed entry 7:30–9 am (FIRM; pre-book) OR relaxed hotel breakfast if flight too early</t>
  </si>
  <si>
    <t>Fly ATH→IAD (depart midday or afternoon)</t>
  </si>
  <si>
    <t>Taxi to ATH airport + transatlantic</t>
  </si>
  <si>
    <t>Y (Acropolis — must pre-book)</t>
  </si>
  <si>
    <t>Skip Acropolis if flight is early morning</t>
  </si>
  <si>
    <t>Book Acropolis timed entry immediately; July 7:30 am slots sell out weeks ahead</t>
  </si>
  <si>
    <t>Category</t>
  </si>
  <si>
    <t>Item</t>
  </si>
  <si>
    <t>Unit Cost</t>
  </si>
  <si>
    <t>Qty</t>
  </si>
  <si>
    <t>Low (USD)</t>
  </si>
  <si>
    <t>Mid (USD)</t>
  </si>
  <si>
    <t>High (USD)</t>
  </si>
  <si>
    <t>Confidence</t>
  </si>
  <si>
    <t>Basis</t>
  </si>
  <si>
    <t>Source IDs</t>
  </si>
  <si>
    <t>Flights</t>
  </si>
  <si>
    <t>IAD→ATH round-trip economy × 4</t>
  </si>
  <si>
    <t>$1,100–1,600/pp</t>
  </si>
  <si>
    <t>4</t>
  </si>
  <si>
    <t>Live IAD–ATH searches May 2026; United nonstop ~$1,350–1,467 observed</t>
  </si>
  <si>
    <t>GR-FL</t>
  </si>
  <si>
    <t>Bags &amp; Seats</t>
  </si>
  <si>
    <t>Economy bags + seat selection</t>
  </si>
  <si>
    <t>$90/pp RT</t>
  </si>
  <si>
    <t>Carrier-dependent; assume 1 checked bag/pp</t>
  </si>
  <si>
    <t>Lodging</t>
  </si>
  <si>
    <t>Athens — 2 nights (arrival)</t>
  </si>
  <si>
    <t>$200–350/night</t>
  </si>
  <si>
    <t>2</t>
  </si>
  <si>
    <t>Plaka-area hotels (Athens Gate, Electra Metropolis range)</t>
  </si>
  <si>
    <t>GR-LO</t>
  </si>
  <si>
    <t>Naxos — 3 nights</t>
  </si>
  <si>
    <t>$150–375/night</t>
  </si>
  <si>
    <t>3</t>
  </si>
  <si>
    <t>Iria Beach Art Hotel or similar mid-range</t>
  </si>
  <si>
    <t>Santorini — 3 nights</t>
  </si>
  <si>
    <t>$300–800/night</t>
  </si>
  <si>
    <t>Imerovigli/Firostefani caldera-adjacent; Oia center commands premium</t>
  </si>
  <si>
    <t>Athens buffer — 1 night (airport area)</t>
  </si>
  <si>
    <t>$180–280/night</t>
  </si>
  <si>
    <t>1</t>
  </si>
  <si>
    <t>Sofitel Athens Airport or similar</t>
  </si>
  <si>
    <t>Ferries</t>
  </si>
  <si>
    <t>Piraeus → Naxos (Blue Star mid or Seajets)</t>
  </si>
  <si>
    <t>$55–100/pp</t>
  </si>
  <si>
    <t>Blue Star Ferries and Seajets direct schedules</t>
  </si>
  <si>
    <t>GR-FE</t>
  </si>
  <si>
    <t>Naxos → Santorini (Seajets fast ferry)</t>
  </si>
  <si>
    <t>$65–90/pp</t>
  </si>
  <si>
    <t>Seajets Naxos–Santorini May 2026 fares</t>
  </si>
  <si>
    <t>Internal Flight</t>
  </si>
  <si>
    <t>Santorini → Athens (Aegean Airlines domestic)</t>
  </si>
  <si>
    <t>$70–130/pp</t>
  </si>
  <si>
    <t>Aegean Airlines; optional; ferry is the budget path back</t>
  </si>
  <si>
    <t>GR-DF</t>
  </si>
  <si>
    <t>Transfers</t>
  </si>
  <si>
    <t>Athens airport express train (round-trip)</t>
  </si>
  <si>
    <t>$18/pp RT</t>
  </si>
  <si>
    <t>Proastiakos line; under-18 half price</t>
  </si>
  <si>
    <t>GR-TR</t>
  </si>
  <si>
    <t>Island taxis, buses, water taxis</t>
  </si>
  <si>
    <t>Estimate</t>
  </si>
  <si>
    <t>—</t>
  </si>
  <si>
    <t>Naxos buses cheap; Santorini taxis expensive in July</t>
  </si>
  <si>
    <t>Activities</t>
  </si>
  <si>
    <t>Acropolis timed entry (advance)</t>
  </si>
  <si>
    <t>€30/adult; €15/youth</t>
  </si>
  <si>
    <t>Greek Ministry of Culture / hhticket.gr; €30 adult flat rate 2026</t>
  </si>
  <si>
    <t>GR-AC</t>
  </si>
  <si>
    <t>Acropolis Museum</t>
  </si>
  <si>
    <t>€15/adult</t>
  </si>
  <si>
    <t>Official Acropolis Museum site</t>
  </si>
  <si>
    <t>Ancient Agora</t>
  </si>
  <si>
    <t>€10/adult</t>
  </si>
  <si>
    <t>Greek Ministry of Culture</t>
  </si>
  <si>
    <t>Naxos catamaran half-day</t>
  </si>
  <si>
    <t>€65–90/pp</t>
  </si>
  <si>
    <t>Operator pricing estimated; varies by provider</t>
  </si>
  <si>
    <t>Santorini caldera catamaran (volcano + hot springs + Red Beach)</t>
  </si>
  <si>
    <t>€100–130/pp</t>
  </si>
  <si>
    <t>Operator estimates; book through Viator or direct</t>
  </si>
  <si>
    <t>Akrotiri archaeological site</t>
  </si>
  <si>
    <t>Athens food/walking tour (optional)</t>
  </si>
  <si>
    <t>$55–70/pp</t>
  </si>
  <si>
    <t>Tour operator estimates</t>
  </si>
  <si>
    <t>Misc (Portara free; Naxos villages; incidentals)</t>
  </si>
  <si>
    <t>Food &amp; Dining</t>
  </si>
  <si>
    <t>9 ground days × 4 people</t>
  </si>
  <si>
    <t>$50/$80/$120 pp/day</t>
  </si>
  <si>
    <t>36 pp-days</t>
  </si>
  <si>
    <t>Mix of taverna lunches ($15–25/pp) + dinners ($30–60/pp); islands more expensive than Athens</t>
  </si>
  <si>
    <t>GR-FD</t>
  </si>
  <si>
    <t>Travel Insurance</t>
  </si>
  <si>
    <t>Trip protection (ferries + weather)</t>
  </si>
  <si>
    <t>$80/pp</t>
  </si>
  <si>
    <t>Recommended; covers ferry delays</t>
  </si>
  <si>
    <t>TOTAL</t>
  </si>
  <si>
    <t>IAD→MUC round-trip economy × 4</t>
  </si>
  <si>
    <t>$950–1,600/pp</t>
  </si>
  <si>
    <t>Lufthansa and United IAD–MUC nonstop ~8h 10m; Icelandair via KEF lower</t>
  </si>
  <si>
    <t>BA-FL</t>
  </si>
  <si>
    <t>Carrier-dependent</t>
  </si>
  <si>
    <t>Munich — 2 nights</t>
  </si>
  <si>
    <t>$200–450/night</t>
  </si>
  <si>
    <t>Torbräu / NH Collection / Eurostars Grand Central range</t>
  </si>
  <si>
    <t>BA-LO</t>
  </si>
  <si>
    <t>Mittenwald — 3 nights</t>
  </si>
  <si>
    <t>$180–400/night</t>
  </si>
  <si>
    <t>Alpenhotel Rieger / Post Hotel range</t>
  </si>
  <si>
    <t>Berchtesgaden — 2 nights</t>
  </si>
  <si>
    <t>$180–450/night</t>
  </si>
  <si>
    <t>Hotel Edelweiss / Vier Jahreszeiten range</t>
  </si>
  <si>
    <t>Salzburg — 2 nights (Festspiele premium applies)</t>
  </si>
  <si>
    <t>$250–600/night</t>
  </si>
  <si>
    <t>Hotel Wolf-Dietrich; book 5–6 months ahead for Festival dates</t>
  </si>
  <si>
    <t>Rail</t>
  </si>
  <si>
    <t>Bayern-Ticket family × 4 days (14yo free; 17yo = adult; €49/day)</t>
  </si>
  <si>
    <t>€49/day</t>
  </si>
  <si>
    <t>4 days</t>
  </si>
  <si>
    <t>DB official Bayern-Ticket; children 6–14 ride free with adult</t>
  </si>
  <si>
    <t>BA-RT</t>
  </si>
  <si>
    <t>Salzburg → Munich Railjet + seat reservation</t>
  </si>
  <si>
    <t>~$35/pp</t>
  </si>
  <si>
    <t>ÖBB Railjet; book 3–4 weeks ahead with seat reservation</t>
  </si>
  <si>
    <t>MUC airport S-Bahn round-trip (2 × family day ticket)</t>
  </si>
  <si>
    <t>$70/family × 2</t>
  </si>
  <si>
    <t>2 trips</t>
  </si>
  <si>
    <t>MVV airport day ticket</t>
  </si>
  <si>
    <t>Transit</t>
  </si>
  <si>
    <t>Bus 840 Berchtesgaden → Salzburg (family)</t>
  </si>
  <si>
    <t>~€11/pp</t>
  </si>
  <si>
    <t>Regional bus; not covered by Bayern-Ticket</t>
  </si>
  <si>
    <t>Local Berchtesgaden buses (Eagle's Nest + Königssee; 2 days)</t>
  </si>
  <si>
    <t>~€8/pp/day</t>
  </si>
  <si>
    <t>4 pp × 2 days</t>
  </si>
  <si>
    <t>Berchtesgaden local transit</t>
  </si>
  <si>
    <t>Deutsches Museum</t>
  </si>
  <si>
    <t>€15/adult; €4.50/youth</t>
  </si>
  <si>
    <t>2+2</t>
  </si>
  <si>
    <t>Deutsches Museum official site</t>
  </si>
  <si>
    <t>BA-AC</t>
  </si>
  <si>
    <t>BMW Welt (free) + BMW Museum</t>
  </si>
  <si>
    <t>BMW Museum official site</t>
  </si>
  <si>
    <t>Karwendelbahn cable car (3 adults incl. 17yo; 14yo free)</t>
  </si>
  <si>
    <t>€33/adult</t>
  </si>
  <si>
    <t>Karwendelbahn official; free under 15</t>
  </si>
  <si>
    <t>Zugspitze family combo (cogwheel + cable car)</t>
  </si>
  <si>
    <t>~$195 family</t>
  </si>
  <si>
    <t>Zugspitze.de summer 2026; family/youth pricing applies</t>
  </si>
  <si>
    <t>Partnach Gorge</t>
  </si>
  <si>
    <t>€7/adult</t>
  </si>
  <si>
    <t>Official Partnach Gorge entry</t>
  </si>
  <si>
    <t>Königssee electric boat round-trip to Salet</t>
  </si>
  <si>
    <t>€22/adult; €11/youth (14yo)</t>
  </si>
  <si>
    <t>Bayerische Seenschifffahrt official pricing</t>
  </si>
  <si>
    <t>Eagle's Nest (Kehlstein bus + tunnel elevator)</t>
  </si>
  <si>
    <t>€36.10/adult; €21/youth</t>
  </si>
  <si>
    <t>Official Kehlstein; credit card only at top</t>
  </si>
  <si>
    <t>Documentation Center Obersalzberg</t>
  </si>
  <si>
    <t>€6/adult</t>
  </si>
  <si>
    <t>Official Berchtesgaden tourism</t>
  </si>
  <si>
    <t>Hohensalzburg Fortress funicular</t>
  </si>
  <si>
    <t>€14.50/adult; €8.30/youth</t>
  </si>
  <si>
    <t>Festung Salzburg official</t>
  </si>
  <si>
    <t>Mozart's Birthplace</t>
  </si>
  <si>
    <t>€13.50/adult</t>
  </si>
  <si>
    <t>Mozarteum Foundation</t>
  </si>
  <si>
    <t>Optional: Neuschwanstein guided day tour</t>
  </si>
  <si>
    <t>~$75/pp</t>
  </si>
  <si>
    <t>Guided tour from Munich; NOT in core plan</t>
  </si>
  <si>
    <t>Optional: Berchtesgaden salt mine</t>
  </si>
  <si>
    <t>€23/adult</t>
  </si>
  <si>
    <t>Salzbergwerk official site</t>
  </si>
  <si>
    <t>Misc (village fees; incidentals)</t>
  </si>
  <si>
    <t>$40/$65/$100 pp/day</t>
  </si>
  <si>
    <t>Bakery breakfasts; beer-garden lunches; one sit-down dinner/day</t>
  </si>
  <si>
    <t>BA-FD</t>
  </si>
  <si>
    <t>Trip protection</t>
  </si>
  <si>
    <t>$75/pp</t>
  </si>
  <si>
    <t>Standard comprehensive policy</t>
  </si>
  <si>
    <t>Same IAD–MUC routing as Option 1; Lufthansa/United nonstop</t>
  </si>
  <si>
    <t>Munich — 4 nights</t>
  </si>
  <si>
    <t>Same hotel range as Option 1; 2 additional nights</t>
  </si>
  <si>
    <t>Salzburg — 3 nights (Festspiele premium applies)</t>
  </si>
  <si>
    <t>1 additional night vs. Option 1; book 5–6 months ahead</t>
  </si>
  <si>
    <t>Bayern-Ticket × 2 days (Neuschwanstein + Munich→Berchtesgaden)</t>
  </si>
  <si>
    <t>2 days</t>
  </si>
  <si>
    <t>DB Bayern-Ticket; 14yo free; 17yo adult rate</t>
  </si>
  <si>
    <t>Munich local transit — non–Bayern-Ticket days (MVV day tickets)</t>
  </si>
  <si>
    <t>~$25/family/day</t>
  </si>
  <si>
    <t>MVV day tickets; S-Bahn and U-Bahn</t>
  </si>
  <si>
    <t>ÖBB Railjet; book 3–4 weeks ahead</t>
  </si>
  <si>
    <t>Neuschwanstein Castle (timed interior tour + Füssen bus)</t>
  </si>
  <si>
    <t>€15/adult; under 18 free</t>
  </si>
  <si>
    <t>tickets.hohenschwangau.de; under 18 free with guardian; July sells out weeks ahead</t>
  </si>
  <si>
    <t>BA2-AC</t>
  </si>
  <si>
    <t>Nymphenburg Palace</t>
  </si>
  <si>
    <t>Schloss Nymphenburg official; grounds free</t>
  </si>
  <si>
    <t>Königssee electric boat (round-trip to Salet)</t>
  </si>
  <si>
    <t>Official Kehlstein; credit card only at top; seasonal</t>
  </si>
  <si>
    <t>Berchtesgaden salt mine (core plan)</t>
  </si>
  <si>
    <t>€23/adult + youth est.</t>
  </si>
  <si>
    <t>Salzbergwerk official site; now in core plan not optional</t>
  </si>
  <si>
    <t>Hallstatt day trip (regional train + bus + salt mine museum entry)</t>
  </si>
  <si>
    <t>Regional rail Salzburg–Hallstatt; Hallstatt Salzwelten ~€15/adult</t>
  </si>
  <si>
    <t>Misc (Olympic Park; village fees; incidentals)</t>
  </si>
  <si>
    <t>Same food model as Option 1; bakeries + beer gardens</t>
  </si>
  <si>
    <t>Applies To</t>
  </si>
  <si>
    <t>PHL→UVF round-trip economy × 4 (AA nonstop)</t>
  </si>
  <si>
    <t>$550–1,000/pp</t>
  </si>
  <si>
    <t>AA PHL–UVF weekly nonstop; DC airports add 1 stop + ~$100–150/pp</t>
  </si>
  <si>
    <t>SL-FL</t>
  </si>
  <si>
    <t>Both</t>
  </si>
  <si>
    <t>Typical fees</t>
  </si>
  <si>
    <t>$60/pp RT</t>
  </si>
  <si>
    <t>AA nonstop is shorter; fewer fees than connecting</t>
  </si>
  <si>
    <t>Lodging (A)</t>
  </si>
  <si>
    <t>Coconut Bay Splash wing — all-inclusive, 10 nights</t>
  </si>
  <si>
    <t>$650–950/night</t>
  </si>
  <si>
    <t>10 nights</t>
  </si>
  <si>
    <t>cbayresort.com; 2026 rates TBC; estimate based on historical July AI pricing</t>
  </si>
  <si>
    <t>SL-LO</t>
  </si>
  <si>
    <t>Option A only</t>
  </si>
  <si>
    <t>Lodging (B)</t>
  </si>
  <si>
    <t>Soufrière villa 2BR with kitchen — 6 nights</t>
  </si>
  <si>
    <t>$300–450/night</t>
  </si>
  <si>
    <t>6 nights</t>
  </si>
  <si>
    <t>Stonefield Villa Resort / Fond Doux / private rental (Airbnb/VRBO)</t>
  </si>
  <si>
    <t>Option B only</t>
  </si>
  <si>
    <t>Bay Gardens Beach Resort, Rodney Bay — 4 nights</t>
  </si>
  <si>
    <t>$250–380/night</t>
  </si>
  <si>
    <t>4 nights</t>
  </si>
  <si>
    <t>Bay Gardens direct booking</t>
  </si>
  <si>
    <t>Transfers (A)</t>
  </si>
  <si>
    <t>UVF → Coconut Bay (free resort shuttle)</t>
  </si>
  <si>
    <t>$0</t>
  </si>
  <si>
    <t>Coconut Bay direct confirmation</t>
  </si>
  <si>
    <t>SL-TR</t>
  </si>
  <si>
    <t>Excursion day taxis (not resort-included)</t>
  </si>
  <si>
    <t>Distance from Vieux Fort adds cost</t>
  </si>
  <si>
    <t>Transfers (B)</t>
  </si>
  <si>
    <t>UVF → Soufrière (private taxi for 4)</t>
  </si>
  <si>
    <t>$90–100</t>
  </si>
  <si>
    <t>Representative local operator pricing</t>
  </si>
  <si>
    <t>Soufrière → Rodney Bay (taxi or water taxi)</t>
  </si>
  <si>
    <t>$100–180</t>
  </si>
  <si>
    <t>Water taxi is scenic upgrade; road taxi is practical</t>
  </si>
  <si>
    <t>Rodney Bay → UVF (departure)</t>
  </si>
  <si>
    <t>$100–130</t>
  </si>
  <si>
    <t>Local taxis throughout trip</t>
  </si>
  <si>
    <t>Island roads require taxis; no public transit grid</t>
  </si>
  <si>
    <t>Gros Piton hike (trail fee + mandatory guide)</t>
  </si>
  <si>
    <t>$50/pp</t>
  </si>
  <si>
    <t>St. Lucia National Trust; guide required by law</t>
  </si>
  <si>
    <t>SL-AC</t>
  </si>
  <si>
    <t>Soufrière highlights (Sulphur Springs + Toraille + Diamond)</t>
  </si>
  <si>
    <t>$90–110/pp</t>
  </si>
  <si>
    <t>Direct operator and St. Lucia tourism authority pricing</t>
  </si>
  <si>
    <t>Catamaran full-day cruise (Sea Spray Tout Bagay or equiv.)</t>
  </si>
  <si>
    <t>$140/adult; $80/child</t>
  </si>
  <si>
    <t>Sea Spray Cruises direct pricing</t>
  </si>
  <si>
    <t>Rainforest zip-line (Rainforest Adventures or Morne Coubaril)</t>
  </si>
  <si>
    <t>$75–95/pp</t>
  </si>
  <si>
    <t>Operator pricing; min age 8; max 290 lbs</t>
  </si>
  <si>
    <t>Tet Paul Nature Trail</t>
  </si>
  <si>
    <t>$10/pp</t>
  </si>
  <si>
    <t>Tet Paul official site</t>
  </si>
  <si>
    <t>Pigeon Island National Park</t>
  </si>
  <si>
    <t>$11/pp</t>
  </si>
  <si>
    <t>St. Lucia National Trust</t>
  </si>
  <si>
    <t>Anse La Raye Fish Fry transport</t>
  </si>
  <si>
    <t>$30–40/trip</t>
  </si>
  <si>
    <t>Driver estimate</t>
  </si>
  <si>
    <t>Activities (opt.)</t>
  </si>
  <si>
    <t>Hotel Chocolat / Boucan estate tour</t>
  </si>
  <si>
    <t>$95/pp</t>
  </si>
  <si>
    <t>Hotel Chocolat direct</t>
  </si>
  <si>
    <t>Anse Chastanet snorkel transfer</t>
  </si>
  <si>
    <t>$40/pp</t>
  </si>
  <si>
    <t>Optional upgrade</t>
  </si>
  <si>
    <t>Food (A)</t>
  </si>
  <si>
    <t>Off-resort meals at all-inclusive (2–3 outings)</t>
  </si>
  <si>
    <t>$60/meal × family</t>
  </si>
  <si>
    <t>3 meals</t>
  </si>
  <si>
    <t>Most meals included at AI resort</t>
  </si>
  <si>
    <t>SL-FD</t>
  </si>
  <si>
    <t>Food (B)</t>
  </si>
  <si>
    <t>10 days × 4 people</t>
  </si>
  <si>
    <t>$50/$75/$110 pp/day</t>
  </si>
  <si>
    <t>40 pp-days</t>
  </si>
  <si>
    <t>Cook breakfast in villa; local lunches $10–15/pp; dinners $30–50/pp</t>
  </si>
  <si>
    <t>Tips &amp; Misc</t>
  </si>
  <si>
    <t>Guides, resort tips, incidentals</t>
  </si>
  <si>
    <t>Hurricane/CFAR policy (strongly recommended for July)</t>
  </si>
  <si>
    <t>$100/pp</t>
  </si>
  <si>
    <t>July = hurricane season; St. Lucia Holiday Guarantee also available</t>
  </si>
  <si>
    <t>TOTAL — Option A (Coconut Bay All-Inclusive)</t>
  </si>
  <si>
    <t>A</t>
  </si>
  <si>
    <t>TOTAL — Option B (Villa + Bay Gardens)</t>
  </si>
  <si>
    <t>B</t>
  </si>
  <si>
    <t>$1,000–1,600/pp</t>
  </si>
  <si>
    <t>Live IAD–ATH searches May 2026; Aegean/United/Lufthansa range</t>
  </si>
  <si>
    <t>$50–140/pp RT</t>
  </si>
  <si>
    <t>Domestic Flight</t>
  </si>
  <si>
    <t>Athens → Chania (ATH→CHQ; Aegean Airlines)</t>
  </si>
  <si>
    <t>$70–120/pp</t>
  </si>
  <si>
    <t>Aegean Airlines; book 2–3 months ahead</t>
  </si>
  <si>
    <t>GR2-DO</t>
  </si>
  <si>
    <t>Heraklion → Athens (HER→ATH; Aegean Airlines)</t>
  </si>
  <si>
    <t>West Crete (Agia Marina/Stalos/Kalamaki) — 5 nights</t>
  </si>
  <si>
    <t>5</t>
  </si>
  <si>
    <t>Booking.com; beach-area family hotels with pool and parking</t>
  </si>
  <si>
    <t>GR2-LO</t>
  </si>
  <si>
    <t>East Crete — Agios Nikolaos mid-tier — 3 nights</t>
  </si>
  <si>
    <t>$150–260/night</t>
  </si>
  <si>
    <t>Mid-tier hotel near harbor; Agios Nikolaos recommended over Elounda for value</t>
  </si>
  <si>
    <t>Athens — 1 night (Plaka/Koukaki area)</t>
  </si>
  <si>
    <t>$150–280/night</t>
  </si>
  <si>
    <t>Central Athens hotel; Plaka or Koukaki walkable to Acropolis</t>
  </si>
  <si>
    <t>Rental Car</t>
  </si>
  <si>
    <t>Economy/compact 9 days CHQ pickup → HER return</t>
  </si>
  <si>
    <t>$50–85/day</t>
  </si>
  <si>
    <t>9</t>
  </si>
  <si>
    <t>Budget/Sixt/Europcar Crete; CHQ one-way to HER adds drop fee ~$50–100</t>
  </si>
  <si>
    <t>GR2-CA</t>
  </si>
  <si>
    <t>Fuel &amp; Parking</t>
  </si>
  <si>
    <t>Crete driving 9 days (~700 km total)</t>
  </si>
  <si>
    <t>Crete petrol ~€1.90/L May 2026; minimal tolls; parking €5–10/day in cities</t>
  </si>
  <si>
    <t>Knossos Palace (timed entry)</t>
  </si>
  <si>
    <t>€15/adult; €8/youth</t>
  </si>
  <si>
    <t>Greek Ministry of Culture / hhticket.gr</t>
  </si>
  <si>
    <t>GR2-AC</t>
  </si>
  <si>
    <t>Heraklion Archaeological Museum</t>
  </si>
  <si>
    <t>Official museum site; world-class Minoan collection</t>
  </si>
  <si>
    <t>Acropolis timed entry Day 11 — FIRM</t>
  </si>
  <si>
    <t>hhticket.gr; book immediately — July 7:30 am slots sell out</t>
  </si>
  <si>
    <t>Spinalonga boat + island entry</t>
  </si>
  <si>
    <t>€15–25/pp RT + €8 entry</t>
  </si>
  <si>
    <t>Elounda–Spinalonga local operators; book morning boat</t>
  </si>
  <si>
    <t>Imbros Gorge entry</t>
  </si>
  <si>
    <t>€5/pp + taxi return from Sfakia</t>
  </si>
  <si>
    <t>Pay at trailhead; taxi return ~€15 total</t>
  </si>
  <si>
    <t>Balos Lagoon (Kissamos ferry round-trip)</t>
  </si>
  <si>
    <t>€18–25/pp</t>
  </si>
  <si>
    <t>Kissamos ferry operator; pre-book July; alternatively drive to overlook</t>
  </si>
  <si>
    <t>Inland village olive oil / food tasting</t>
  </si>
  <si>
    <t>€20/pp</t>
  </si>
  <si>
    <t>Optional; Cretan olive oil estates in Vamos / Gavalochori area</t>
  </si>
  <si>
    <t>Misc (Rethymno Fortezza, Sfakia taxi, beach incidentals, parking)</t>
  </si>
  <si>
    <t>Crete tavernas competitive; Agios Nikolaos harbor restaurants mid-range</t>
  </si>
  <si>
    <t>GR2-FD</t>
  </si>
  <si>
    <t>Trip protection (rental car + flight delays)</t>
  </si>
  <si>
    <t>Recommended; ensure rental car coverage included</t>
  </si>
  <si>
    <t>Category (Mid-Range)</t>
  </si>
  <si>
    <t>Bavaria — Opt 1 (Alpine)</t>
  </si>
  <si>
    <t>Bavaria — Opt 2 (Cities)</t>
  </si>
  <si>
    <t>St. Lucia (A) All-Incl.</t>
  </si>
  <si>
    <t>St. Lucia (B) Independent</t>
  </si>
  <si>
    <t>Flights + Bags</t>
  </si>
  <si>
    <t>Ground Transport / Ferries / Rail</t>
  </si>
  <si>
    <t>Insurance &amp; Misc</t>
  </si>
  <si>
    <t>TOTAL MID (Family of 4)</t>
  </si>
  <si>
    <t>Nights on Ground</t>
  </si>
  <si>
    <t>Cost per Night on Ground (Mid)</t>
  </si>
  <si>
    <t>Source ID</t>
  </si>
  <si>
    <t>Destination</t>
  </si>
  <si>
    <t>Source Name</t>
  </si>
  <si>
    <t>URL / Where to Find</t>
  </si>
  <si>
    <t>What It Supports</t>
  </si>
  <si>
    <t>Reliability</t>
  </si>
  <si>
    <t>Greece Opt 1</t>
  </si>
  <si>
    <t>United Airlines IAD–ATH seasonal nonstop</t>
  </si>
  <si>
    <t>united.com</t>
  </si>
  <si>
    <t>IAD–ATH nonstop routing and fare confirmation</t>
  </si>
  <si>
    <t>Seasonal summer nonstop; verify July 2026 schedule</t>
  </si>
  <si>
    <t>Lufthansa IAD–FRA–ATH</t>
  </si>
  <si>
    <t>lufthansa.com</t>
  </si>
  <si>
    <t>Connecting option; typically competitive in advance</t>
  </si>
  <si>
    <t>Google Flights / Kayak</t>
  </si>
  <si>
    <t>flights.google.com / kayak.com</t>
  </si>
  <si>
    <t>Fare market scanning and range validation</t>
  </si>
  <si>
    <t>Fares highly volatile; use as range only</t>
  </si>
  <si>
    <t>Attractions</t>
  </si>
  <si>
    <t>hhticket.gr</t>
  </si>
  <si>
    <t>Acropolis timed-entry booking; official pricing (€30 flat 2026)</t>
  </si>
  <si>
    <t>Book timed entry immediately; July slots sell out weeks ahead</t>
  </si>
  <si>
    <t>Acropolis Museum official</t>
  </si>
  <si>
    <t>theacropolismuseum.gr</t>
  </si>
  <si>
    <t>Museum hours; admission pricing (€15 adult)</t>
  </si>
  <si>
    <t>Blue Star Ferries</t>
  </si>
  <si>
    <t>bluestarferries.com</t>
  </si>
  <si>
    <t>Piraeus–Naxos schedules; pricing; stability in meltemi winds</t>
  </si>
  <si>
    <t>Blue Star far more wind-stable than Seajets; recommended for Piraeus–Naxos leg</t>
  </si>
  <si>
    <t>seajets.com</t>
  </si>
  <si>
    <t>Fast-ferry schedules Naxos–Santorini; pricing</t>
  </si>
  <si>
    <t>Weather-sensitive; check before travel</t>
  </si>
  <si>
    <t>Ferryhopper (aggregator)</t>
  </si>
  <si>
    <t>ferryhopper.com</t>
  </si>
  <si>
    <t>Ferry booking aggregator; compares operators</t>
  </si>
  <si>
    <t>Good for comparing Blue Star vs. Seajets options</t>
  </si>
  <si>
    <t>Domestic Flights</t>
  </si>
  <si>
    <t>Aegean Airlines</t>
  </si>
  <si>
    <t>aegeanair.com</t>
  </si>
  <si>
    <t>Santorini → Athens domestic; 5–6 daily; ~50 min</t>
  </si>
  <si>
    <t>Recommended for buffer-day return to Athens</t>
  </si>
  <si>
    <t>Booking.com / Expedia / direct hotels</t>
  </si>
  <si>
    <t>booking.com</t>
  </si>
  <si>
    <t>Athens, Naxos, Santorini family room rates</t>
  </si>
  <si>
    <t>July peak; Santorini caldera-view hotels sell out 6+ months ahead</t>
  </si>
  <si>
    <t>Proastiakos Athens Metro (airport express)</t>
  </si>
  <si>
    <t>stasy.gr</t>
  </si>
  <si>
    <t>Athens airport express train; fares; under-18 half price</t>
  </si>
  <si>
    <t>Food</t>
  </si>
  <si>
    <t>Greek National Tourism Org / Santorini Dave</t>
  </si>
  <si>
    <t>visitgreece.gr</t>
  </si>
  <si>
    <t>Dining cost benchmarks for Athens, Naxos, Santorini</t>
  </si>
  <si>
    <t>Estimate; confirm on arrival</t>
  </si>
  <si>
    <t>Greece Opt 2</t>
  </si>
  <si>
    <t>Aegean Airlines ATH–CHQ / HER–ATH</t>
  </si>
  <si>
    <t>Both Crete domestic legs; ~50 min each; book 2–3 months ahead</t>
  </si>
  <si>
    <t>Book together with main IAD–ATH international itinerary</t>
  </si>
  <si>
    <t>Booking.com / direct Crete hotels</t>
  </si>
  <si>
    <t>West Crete (Agia Marina/Stalos) and East Crete (Agios Nikolaos) family hotel rates</t>
  </si>
  <si>
    <t>Book Agios Nikolaos mid-tier hotel 4–5 months ahead for July</t>
  </si>
  <si>
    <t>Car Rental</t>
  </si>
  <si>
    <t>Budget / Sixt / Europcar Crete</t>
  </si>
  <si>
    <t>budget.com / sixt.com</t>
  </si>
  <si>
    <t>Economy/compact rental CHQ pickup one-way to HER; 9 days</t>
  </si>
  <si>
    <t>One-way drop fee varies; compare operators directly; fuel full-to-full</t>
  </si>
  <si>
    <t>Greek Ministry of Culture / hhticket.gr — Knossos &amp; Heraklion Museum</t>
  </si>
  <si>
    <t>Knossos Palace timed entry and Heraklion Archaeological Museum pricing</t>
  </si>
  <si>
    <t>Knossos timed entry recommended in July; museum is world-class</t>
  </si>
  <si>
    <t>hhticket.gr — Acropolis timed entry</t>
  </si>
  <si>
    <t>Acropolis Day 11 firm activity; €30 adult flat rate 2026</t>
  </si>
  <si>
    <t>Book immediately; July 7:30 am slots sell out weeks ahead</t>
  </si>
  <si>
    <t>Elounda–Spinalonga local boat operators</t>
  </si>
  <si>
    <t>elounda.gr / local dock</t>
  </si>
  <si>
    <t>Spinalonga round-trip boat and island entry; morning boats recommended</t>
  </si>
  <si>
    <t>Multiple operators at Elounda dock; pre-book July</t>
  </si>
  <si>
    <t>Kissamos Ferry (Balos Lagoon)</t>
  </si>
  <si>
    <t>kissamos-ferries.gr</t>
  </si>
  <si>
    <t>Kissamos–Balos return ferry; seasonal May–Oct; July books up</t>
  </si>
  <si>
    <t>Pre-book ferry; alternatively drive to Balos overlook for free</t>
  </si>
  <si>
    <t>Crete dining benchmarks</t>
  </si>
  <si>
    <t>visitcrete.gr / local restaurant guides</t>
  </si>
  <si>
    <t>Cretan taverna food cost benchmarks; Agios Nikolaos harbor restaurants</t>
  </si>
  <si>
    <t>Crete generally good value vs. Santorini; harbor slightly premium</t>
  </si>
  <si>
    <t>Bavaria</t>
  </si>
  <si>
    <t>Lufthansa IAD–MUC nonstop</t>
  </si>
  <si>
    <t>Direct nonstop service; ~8h 10m</t>
  </si>
  <si>
    <t>Also check United IAD–MUC</t>
  </si>
  <si>
    <t>Icelandair via KEF</t>
  </si>
  <si>
    <t>icelandair.com</t>
  </si>
  <si>
    <t>Budget routing option; adds ~2–3 hrs</t>
  </si>
  <si>
    <t>Good for low scenario pricing</t>
  </si>
  <si>
    <t>Deutsche Bahn Bayern-Ticket</t>
  </si>
  <si>
    <t>bahn.de</t>
  </si>
  <si>
    <t>Bayern-Ticket pricing; validity; free-child rule (ages 6–14 free)</t>
  </si>
  <si>
    <t>14yo rides free; 17yo is adult rate; €49/family of 4 per day</t>
  </si>
  <si>
    <t>ÖBB Railjet Salzburg–Munich</t>
  </si>
  <si>
    <t>oebb.at</t>
  </si>
  <si>
    <t>Salzburg → Munich final morning; 1h 28m; seat reservation required</t>
  </si>
  <si>
    <t>Book 3–4 weeks ahead; reservation ~$30/person</t>
  </si>
  <si>
    <t>Zugspitze official</t>
  </si>
  <si>
    <t>zugspitze.de</t>
  </si>
  <si>
    <t>Summer cable car operations; family/youth pricing; webcam for conditions</t>
  </si>
  <si>
    <t>Check webcam morning of; youth pricing applies for 17yo</t>
  </si>
  <si>
    <t>Karwendelbahn official</t>
  </si>
  <si>
    <t>karwendelbahn.de</t>
  </si>
  <si>
    <t>Mittenwald cable car; schedule; pricing; free under 15</t>
  </si>
  <si>
    <t>14yo rides free</t>
  </si>
  <si>
    <t>Bayerische Seenschifffahrt (Königssee)</t>
  </si>
  <si>
    <t>seenschifffahrt.de</t>
  </si>
  <si>
    <t>Electric boat schedule; pricing; adult/youth rates</t>
  </si>
  <si>
    <t>Take first morning boat; seats go fast</t>
  </si>
  <si>
    <t>Kehlstein (Eagle's Nest)</t>
  </si>
  <si>
    <t>kehlsteinhaus.de</t>
  </si>
  <si>
    <t>Bus/elevator access; seasonal operation; ticket pricing</t>
  </si>
  <si>
    <t>Cash/credit card at top; operates May–Oct</t>
  </si>
  <si>
    <t>deutsches-museum.de</t>
  </si>
  <si>
    <t>Admission pricing; hours; teen-appeal content</t>
  </si>
  <si>
    <t>Festung Hohensalzburg</t>
  </si>
  <si>
    <t>salzburg-burgen.at</t>
  </si>
  <si>
    <t>Fortress funicular pricing; adult/youth rates</t>
  </si>
  <si>
    <t>Booking.com / direct hotels</t>
  </si>
  <si>
    <t>Munich / Mittenwald / Berchtesgaden / Salzburg family room rates</t>
  </si>
  <si>
    <t>Salzburg: book 5–6 months ahead due to Festspiele</t>
  </si>
  <si>
    <t>Munich / Bavaria general tourism</t>
  </si>
  <si>
    <t>munich.travel</t>
  </si>
  <si>
    <t>Food cost benchmarks; beer garden pricing</t>
  </si>
  <si>
    <t>Bavaria moderately priced; bakery + beer garden strategy keeps costs low</t>
  </si>
  <si>
    <t>Bavaria Opt 2</t>
  </si>
  <si>
    <t>Neuschwanstein / Hohenschwangau official tickets</t>
  </si>
  <si>
    <t>tickets.hohenschwangau.de</t>
  </si>
  <si>
    <t>Neuschwanstein timed interior tour; under 18 free with guardian; July availability</t>
  </si>
  <si>
    <t>Book immediately upon confirming trip; July sells out weeks ahead</t>
  </si>
  <si>
    <t>Schloss Nymphenburg official</t>
  </si>
  <si>
    <t>schloss-nymphenburg.de</t>
  </si>
  <si>
    <t>Palace entry pricing; grounds and canals free; summer café on-site</t>
  </si>
  <si>
    <t>Good half-day activity; grounds free even without palace entry</t>
  </si>
  <si>
    <t>Hallstatt tourism / ÖBB regional rail</t>
  </si>
  <si>
    <t>hallstatt.net / oebb.at</t>
  </si>
  <si>
    <t>Hallstatt day trip logistics from Salzburg; train + bus combo; Salzwelten mine museum</t>
  </si>
  <si>
    <t>Regional rail Salzburg–Attnang-Puchheim–Hallstatt; arrive early to beat July tour buses</t>
  </si>
  <si>
    <t>St. Lucia</t>
  </si>
  <si>
    <t>American Airlines PHL–UVF</t>
  </si>
  <si>
    <t>aa.com</t>
  </si>
  <si>
    <t>Weekly nonstop PHL–UVF; ~4h 45m; fare range</t>
  </si>
  <si>
    <t>Verify exact July 2026 schedule; check early for PHL nonstop availability</t>
  </si>
  <si>
    <t>Coconut Bay Resort</t>
  </si>
  <si>
    <t>cbayresort.com</t>
  </si>
  <si>
    <t>All-inclusive family Splash wing; rates; inclusions</t>
  </si>
  <si>
    <t>2026 July rates not yet published; get direct quote</t>
  </si>
  <si>
    <t>Bay Gardens Beach Resort</t>
  </si>
  <si>
    <t>baygardensresorts.com</t>
  </si>
  <si>
    <t>Rodney Bay family rooms; nightly rates</t>
  </si>
  <si>
    <t>Stonefield Villa Resort</t>
  </si>
  <si>
    <t>stonefieldvillas.com</t>
  </si>
  <si>
    <t>Soufrière villa option; 2BR; Piton views</t>
  </si>
  <si>
    <t>St. Lucia National Trust (Gros Piton)</t>
  </si>
  <si>
    <t>slunatrust.org</t>
  </si>
  <si>
    <t>Gros Piton trail fee ($50/pp); mandatory guide requirement</t>
  </si>
  <si>
    <t>Guide is legally required; adds real value</t>
  </si>
  <si>
    <t>thetetpaulnaturetrail.com</t>
  </si>
  <si>
    <t>Entry pricing; trail description; panoramic Piton views</t>
  </si>
  <si>
    <t>Sea Spray Cruises</t>
  </si>
  <si>
    <t>seaspreystlucia.com</t>
  </si>
  <si>
    <t>Tout Bagay full-day catamaran; pricing; schedule</t>
  </si>
  <si>
    <t>Rainforest Adventures St. Lucia</t>
  </si>
  <si>
    <t>rainforestadventure.com</t>
  </si>
  <si>
    <t>Aerial tram + zip-line; pricing; age/weight requirements</t>
  </si>
  <si>
    <t>Min age 8; max 290 lbs</t>
  </si>
  <si>
    <t>Diamond Botanical Gardens</t>
  </si>
  <si>
    <t>diamondstlucia.com</t>
  </si>
  <si>
    <t>Entry pricing; mineral baths; waterfall</t>
  </si>
  <si>
    <t>Local taxi operators</t>
  </si>
  <si>
    <t>stluciataxiservice.com</t>
  </si>
  <si>
    <t>UVF transfer cost estimates; Soufrière / Rodney Bay rates</t>
  </si>
  <si>
    <t>Get quotes directly on arrival; prices can vary</t>
  </si>
  <si>
    <t>SL-WX</t>
  </si>
  <si>
    <t>Weather</t>
  </si>
  <si>
    <t>NOAA / National Hurricane Center</t>
  </si>
  <si>
    <t>nhc.noaa.gov</t>
  </si>
  <si>
    <t>July hurricane season framing; historical risk profile</t>
  </si>
  <si>
    <t>Early July historically lower risk than Aug/Sep; buy CFAR travel insurance</t>
  </si>
  <si>
    <t>Saint Lucia Tourism Authority</t>
  </si>
  <si>
    <t>stlucia.org</t>
  </si>
  <si>
    <t>July weather and travel season guidance</t>
  </si>
  <si>
    <t>FX</t>
  </si>
  <si>
    <t>All</t>
  </si>
  <si>
    <t>FX Reference</t>
  </si>
  <si>
    <t>ECB EUR/USD reference rate (May 2026)</t>
  </si>
  <si>
    <t>ecb.europa.eu</t>
  </si>
  <si>
    <t>EUR to USD conversion: €1 = $1.18 used throughout</t>
  </si>
  <si>
    <t>Verify current rate when booking; significant FX moves possible before July 2026</t>
  </si>
  <si>
    <t>US-DOS</t>
  </si>
  <si>
    <t>Safety</t>
  </si>
  <si>
    <t>U.S. Department of State</t>
  </si>
  <si>
    <t>travel.state.gov</t>
  </si>
  <si>
    <t>Travel advisories: Greece L1; Germany L1; Austria L1; St. Lucia L1</t>
  </si>
  <si>
    <t>Verify before departure</t>
  </si>
  <si>
    <t>Jennerbahn</t>
  </si>
  <si>
    <t>asalt mines</t>
  </si>
  <si>
    <t>salt mines</t>
  </si>
  <si>
    <t>Chiemsee</t>
  </si>
  <si>
    <t>Mikes Bikes</t>
  </si>
  <si>
    <t>Munchic Day 2</t>
  </si>
  <si>
    <t>Saltzburg back to Munich</t>
  </si>
  <si>
    <t>Munich Day 1</t>
  </si>
  <si>
    <t>Salzburg Day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</si>
</sst>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3" fillId="5" borderId="1" xfId="0" applyNumberFormat="1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3" borderId="0" xfId="0" applyFont="1" applyFill="1" applyBorder="1" applyAlignment="1">
      <alignment vertical="top" wrapText="1"/>
    </xf>
    <xf numFmtId="164" fontId="2" fillId="3" borderId="0" xfId="0" applyNumberFormat="1" applyFont="1" applyFill="1" applyBorder="1" applyAlignment="1">
      <alignment vertical="top" wrapText="1"/>
    </xf>
    <xf numFmtId="0" fontId="2" fillId="6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8" customWidth="1"/>
    <col min="2" max="2" width="30" customWidth="1"/>
    <col min="3" max="4" width="12" customWidth="1"/>
    <col min="5" max="9" width="14" customWidth="1"/>
    <col min="10" max="10" width="16" customWidth="1"/>
    <col min="11" max="11" width="24" customWidth="1"/>
    <col min="12" max="12" width="14" customWidth="1"/>
    <col min="13" max="13" width="11" customWidth="1"/>
    <col min="14" max="15" width="35" customWidth="1"/>
  </cols>
  <sheetData>
    <row r="1" spans="1:15" ht="36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45">
      <c r="A2" s="2" t="s">
        <v>15</v>
      </c>
      <c r="B2" s="2" t="s">
        <v>16</v>
      </c>
      <c r="C2" s="2">
        <v>9</v>
      </c>
      <c r="D2" s="2">
        <v>1</v>
      </c>
      <c r="E2" s="3">
        <f>Greece_Costs!E23</f>
        <v>9500</v>
      </c>
      <c r="F2" s="3">
        <f>Greece_Costs!F23</f>
        <v>14511</v>
      </c>
      <c r="G2" s="3">
        <f>Greece_Costs!G23</f>
        <v>19926</v>
      </c>
      <c r="H2" s="3">
        <f>Greece_Costs!F23/C2</f>
        <v>1612.3333333333333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</row>
    <row r="3" spans="1:15" ht="26.25" x14ac:dyDescent="0.45">
      <c r="A3" s="4" t="s">
        <v>24</v>
      </c>
      <c r="B3" s="4" t="s">
        <v>25</v>
      </c>
      <c r="C3" s="4">
        <v>9</v>
      </c>
      <c r="D3" s="4">
        <v>1</v>
      </c>
      <c r="E3" s="5">
        <f>Greece2_Costs!E21</f>
        <v>9280</v>
      </c>
      <c r="F3" s="5">
        <f>Greece2_Costs!F21</f>
        <v>13005</v>
      </c>
      <c r="G3" s="5">
        <f>Greece2_Costs!G21</f>
        <v>17185</v>
      </c>
      <c r="H3" s="5">
        <f>Greece2_Costs!F21/C3</f>
        <v>1445</v>
      </c>
      <c r="I3" s="4" t="s">
        <v>17</v>
      </c>
      <c r="J3" s="4" t="s">
        <v>17</v>
      </c>
      <c r="K3" s="4" t="s">
        <v>26</v>
      </c>
      <c r="L3" s="4" t="s">
        <v>20</v>
      </c>
      <c r="M3" s="4" t="s">
        <v>21</v>
      </c>
      <c r="N3" s="4" t="s">
        <v>27</v>
      </c>
      <c r="O3" s="4" t="s">
        <v>28</v>
      </c>
    </row>
    <row r="4" spans="1:15" ht="26.25" x14ac:dyDescent="0.45">
      <c r="A4" s="2" t="s">
        <v>29</v>
      </c>
      <c r="B4" s="2" t="s">
        <v>30</v>
      </c>
      <c r="C4" s="2">
        <v>9</v>
      </c>
      <c r="D4" s="2">
        <v>1</v>
      </c>
      <c r="E4" s="3">
        <f>Bavaria_Costs!E28</f>
        <v>8458</v>
      </c>
      <c r="F4" s="3">
        <f>Bavaria_Costs!F28</f>
        <v>11945</v>
      </c>
      <c r="G4" s="3">
        <f>Bavaria_Costs!G28</f>
        <v>17129</v>
      </c>
      <c r="H4" s="3">
        <f>Bavaria_Costs!F28/C4</f>
        <v>1327.2222222222222</v>
      </c>
      <c r="I4" s="2" t="s">
        <v>18</v>
      </c>
      <c r="J4" s="2" t="s">
        <v>17</v>
      </c>
      <c r="K4" s="2" t="s">
        <v>31</v>
      </c>
      <c r="L4" s="2" t="s">
        <v>21</v>
      </c>
      <c r="M4" s="2" t="s">
        <v>32</v>
      </c>
      <c r="N4" s="2" t="s">
        <v>33</v>
      </c>
      <c r="O4" s="2" t="s">
        <v>34</v>
      </c>
    </row>
    <row r="5" spans="1:15" ht="26.25" x14ac:dyDescent="0.45">
      <c r="A5" s="4" t="s">
        <v>35</v>
      </c>
      <c r="B5" s="4" t="s">
        <v>36</v>
      </c>
      <c r="C5" s="4">
        <v>9</v>
      </c>
      <c r="D5" s="4">
        <v>1</v>
      </c>
      <c r="E5" s="5">
        <f>Bavaria2_Costs!E27</f>
        <v>8644</v>
      </c>
      <c r="F5" s="5">
        <f>Bavaria2_Costs!F27</f>
        <v>12309</v>
      </c>
      <c r="G5" s="5">
        <f>Bavaria2_Costs!G27</f>
        <v>17334</v>
      </c>
      <c r="H5" s="5">
        <f>Bavaria2_Costs!F27/C5</f>
        <v>1367.6666666666667</v>
      </c>
      <c r="I5" s="4" t="s">
        <v>18</v>
      </c>
      <c r="J5" s="4" t="s">
        <v>37</v>
      </c>
      <c r="K5" s="4" t="s">
        <v>31</v>
      </c>
      <c r="L5" s="4" t="s">
        <v>21</v>
      </c>
      <c r="M5" s="4" t="s">
        <v>32</v>
      </c>
      <c r="N5" s="4" t="s">
        <v>38</v>
      </c>
      <c r="O5" s="4" t="s">
        <v>39</v>
      </c>
    </row>
    <row r="6" spans="1:15" ht="26.25" x14ac:dyDescent="0.45">
      <c r="A6" s="2" t="s">
        <v>40</v>
      </c>
      <c r="B6" s="2" t="s">
        <v>41</v>
      </c>
      <c r="C6" s="2">
        <v>10</v>
      </c>
      <c r="D6" s="2">
        <v>0</v>
      </c>
      <c r="E6" s="3">
        <f>StLucia_Costs!E26</f>
        <v>10510</v>
      </c>
      <c r="F6" s="3">
        <f>StLucia_Costs!F26</f>
        <v>13679</v>
      </c>
      <c r="G6" s="3">
        <f>StLucia_Costs!G26</f>
        <v>18204</v>
      </c>
      <c r="H6" s="3">
        <f>StLucia_Costs!F26/C6</f>
        <v>1367.9</v>
      </c>
      <c r="I6" s="2" t="s">
        <v>17</v>
      </c>
      <c r="J6" s="2" t="s">
        <v>42</v>
      </c>
      <c r="K6" s="2" t="s">
        <v>43</v>
      </c>
      <c r="L6" s="2" t="s">
        <v>44</v>
      </c>
      <c r="M6" s="2" t="s">
        <v>21</v>
      </c>
      <c r="N6" s="2" t="s">
        <v>45</v>
      </c>
      <c r="O6" s="2" t="s">
        <v>46</v>
      </c>
    </row>
    <row r="7" spans="1:15" ht="26.25" x14ac:dyDescent="0.45">
      <c r="A7" s="4" t="s">
        <v>47</v>
      </c>
      <c r="B7" s="4" t="s">
        <v>48</v>
      </c>
      <c r="C7" s="4">
        <v>10</v>
      </c>
      <c r="D7" s="4">
        <v>0</v>
      </c>
      <c r="E7" s="5">
        <f>StLucia_Costs!E27</f>
        <v>9150</v>
      </c>
      <c r="F7" s="5">
        <f>StLucia_Costs!F27</f>
        <v>12539</v>
      </c>
      <c r="G7" s="5">
        <f>StLucia_Costs!G27</f>
        <v>17394</v>
      </c>
      <c r="H7" s="5">
        <f>StLucia_Costs!F27/C7</f>
        <v>1253.9000000000001</v>
      </c>
      <c r="I7" s="4" t="s">
        <v>17</v>
      </c>
      <c r="J7" s="4" t="s">
        <v>17</v>
      </c>
      <c r="K7" s="4" t="s">
        <v>43</v>
      </c>
      <c r="L7" s="4" t="s">
        <v>44</v>
      </c>
      <c r="M7" s="4" t="s">
        <v>21</v>
      </c>
      <c r="N7" s="4" t="s">
        <v>49</v>
      </c>
      <c r="O7" s="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1" customWidth="1"/>
    <col min="3" max="3" width="22" customWidth="1"/>
    <col min="4" max="4" width="18" customWidth="1"/>
    <col min="5" max="6" width="38" customWidth="1"/>
    <col min="7" max="7" width="32" customWidth="1"/>
    <col min="8" max="8" width="24" customWidth="1"/>
    <col min="9" max="9" width="14" customWidth="1"/>
    <col min="10" max="10" width="12" customWidth="1"/>
    <col min="11" max="11" width="18" customWidth="1"/>
    <col min="12" max="12" width="34" customWidth="1"/>
    <col min="13" max="13" width="16" customWidth="1"/>
    <col min="14" max="14" width="42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45">
      <c r="A2" s="2">
        <v>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67</v>
      </c>
      <c r="H2" s="2" t="s">
        <v>70</v>
      </c>
      <c r="I2" s="2" t="s">
        <v>54</v>
      </c>
      <c r="J2" s="2" t="s">
        <v>71</v>
      </c>
      <c r="K2" s="2" t="s">
        <v>72</v>
      </c>
      <c r="L2" s="2" t="s">
        <v>73</v>
      </c>
      <c r="M2" s="3">
        <v>0</v>
      </c>
      <c r="N2" s="2" t="s">
        <v>74</v>
      </c>
    </row>
    <row r="3" spans="1:14" x14ac:dyDescent="0.45">
      <c r="A3" s="4">
        <v>2</v>
      </c>
      <c r="B3" s="4" t="s">
        <v>75</v>
      </c>
      <c r="C3" s="4" t="s">
        <v>76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81</v>
      </c>
      <c r="J3" s="4" t="s">
        <v>72</v>
      </c>
      <c r="K3" s="4" t="s">
        <v>72</v>
      </c>
      <c r="L3" s="4" t="s">
        <v>82</v>
      </c>
      <c r="M3" s="5">
        <v>320</v>
      </c>
      <c r="N3" s="4" t="s">
        <v>83</v>
      </c>
    </row>
    <row r="4" spans="1:14" ht="26.25" x14ac:dyDescent="0.45">
      <c r="A4" s="2">
        <v>3</v>
      </c>
      <c r="B4" s="2" t="s">
        <v>84</v>
      </c>
      <c r="C4" s="2" t="s">
        <v>76</v>
      </c>
      <c r="D4" s="2" t="s">
        <v>76</v>
      </c>
      <c r="E4" s="2" t="s">
        <v>85</v>
      </c>
      <c r="F4" s="2" t="s">
        <v>86</v>
      </c>
      <c r="G4" s="2" t="s">
        <v>87</v>
      </c>
      <c r="H4" s="2" t="s">
        <v>88</v>
      </c>
      <c r="I4" s="2" t="s">
        <v>89</v>
      </c>
      <c r="J4" s="2" t="s">
        <v>90</v>
      </c>
      <c r="K4" s="2" t="s">
        <v>91</v>
      </c>
      <c r="L4" s="2" t="s">
        <v>92</v>
      </c>
      <c r="M4" s="3">
        <v>420</v>
      </c>
      <c r="N4" s="2" t="s">
        <v>93</v>
      </c>
    </row>
    <row r="5" spans="1:14" ht="26.25" x14ac:dyDescent="0.45">
      <c r="A5" s="4">
        <v>4</v>
      </c>
      <c r="B5" s="4" t="s">
        <v>94</v>
      </c>
      <c r="C5" s="4" t="s">
        <v>95</v>
      </c>
      <c r="D5" s="4" t="s">
        <v>96</v>
      </c>
      <c r="E5" s="4" t="s">
        <v>97</v>
      </c>
      <c r="F5" s="4" t="s">
        <v>98</v>
      </c>
      <c r="G5" s="4" t="s">
        <v>99</v>
      </c>
      <c r="H5" s="4" t="s">
        <v>100</v>
      </c>
      <c r="I5" s="4" t="s">
        <v>101</v>
      </c>
      <c r="J5" s="4" t="s">
        <v>71</v>
      </c>
      <c r="K5" s="4" t="s">
        <v>102</v>
      </c>
      <c r="L5" s="4" t="s">
        <v>103</v>
      </c>
      <c r="M5" s="5">
        <v>530</v>
      </c>
      <c r="N5" s="4" t="s">
        <v>104</v>
      </c>
    </row>
    <row r="6" spans="1:14" ht="26.25" x14ac:dyDescent="0.45">
      <c r="A6" s="2">
        <v>5</v>
      </c>
      <c r="B6" s="2" t="s">
        <v>105</v>
      </c>
      <c r="C6" s="2" t="s">
        <v>96</v>
      </c>
      <c r="D6" s="2" t="s">
        <v>96</v>
      </c>
      <c r="E6" s="2" t="s">
        <v>106</v>
      </c>
      <c r="F6" s="2" t="s">
        <v>107</v>
      </c>
      <c r="G6" s="2" t="s">
        <v>108</v>
      </c>
      <c r="H6" s="2" t="s">
        <v>109</v>
      </c>
      <c r="I6" s="2" t="s">
        <v>110</v>
      </c>
      <c r="J6" s="2" t="s">
        <v>72</v>
      </c>
      <c r="K6" s="2" t="s">
        <v>111</v>
      </c>
      <c r="L6" s="2" t="s">
        <v>112</v>
      </c>
      <c r="M6" s="3">
        <v>320</v>
      </c>
      <c r="N6" s="2" t="s">
        <v>113</v>
      </c>
    </row>
    <row r="7" spans="1:14" ht="26.25" x14ac:dyDescent="0.45">
      <c r="A7" s="4">
        <v>6</v>
      </c>
      <c r="B7" s="4" t="s">
        <v>114</v>
      </c>
      <c r="C7" s="4" t="s">
        <v>96</v>
      </c>
      <c r="D7" s="4" t="s">
        <v>96</v>
      </c>
      <c r="E7" s="4" t="s">
        <v>115</v>
      </c>
      <c r="F7" s="4" t="s">
        <v>116</v>
      </c>
      <c r="G7" s="4" t="s">
        <v>117</v>
      </c>
      <c r="H7" s="4" t="s">
        <v>118</v>
      </c>
      <c r="I7" s="4" t="s">
        <v>119</v>
      </c>
      <c r="J7" s="4" t="s">
        <v>71</v>
      </c>
      <c r="K7" s="4" t="s">
        <v>120</v>
      </c>
      <c r="L7" s="4" t="s">
        <v>121</v>
      </c>
      <c r="M7" s="5">
        <v>520</v>
      </c>
      <c r="N7" s="4" t="s">
        <v>122</v>
      </c>
    </row>
    <row r="8" spans="1:14" ht="26.25" x14ac:dyDescent="0.45">
      <c r="A8" s="2">
        <v>7</v>
      </c>
      <c r="B8" s="2" t="s">
        <v>123</v>
      </c>
      <c r="C8" s="2" t="s">
        <v>124</v>
      </c>
      <c r="D8" s="2" t="s">
        <v>125</v>
      </c>
      <c r="E8" s="2" t="s">
        <v>126</v>
      </c>
      <c r="F8" s="2" t="s">
        <v>127</v>
      </c>
      <c r="G8" s="2" t="s">
        <v>128</v>
      </c>
      <c r="H8" s="2" t="s">
        <v>129</v>
      </c>
      <c r="I8" s="2" t="s">
        <v>130</v>
      </c>
      <c r="J8" s="2" t="s">
        <v>71</v>
      </c>
      <c r="K8" s="2" t="s">
        <v>131</v>
      </c>
      <c r="L8" s="2" t="s">
        <v>132</v>
      </c>
      <c r="M8" s="3">
        <v>840</v>
      </c>
      <c r="N8" s="2" t="s">
        <v>133</v>
      </c>
    </row>
    <row r="9" spans="1:14" ht="26.25" x14ac:dyDescent="0.45">
      <c r="A9" s="4">
        <v>8</v>
      </c>
      <c r="B9" s="4" t="s">
        <v>134</v>
      </c>
      <c r="C9" s="4" t="s">
        <v>125</v>
      </c>
      <c r="D9" s="4" t="s">
        <v>125</v>
      </c>
      <c r="E9" s="4" t="s">
        <v>135</v>
      </c>
      <c r="F9" s="4" t="s">
        <v>136</v>
      </c>
      <c r="G9" s="4" t="s">
        <v>137</v>
      </c>
      <c r="H9" s="4" t="s">
        <v>138</v>
      </c>
      <c r="I9" s="4" t="s">
        <v>139</v>
      </c>
      <c r="J9" s="4" t="s">
        <v>72</v>
      </c>
      <c r="K9" s="4" t="s">
        <v>72</v>
      </c>
      <c r="L9" s="4" t="s">
        <v>140</v>
      </c>
      <c r="M9" s="5">
        <v>580</v>
      </c>
      <c r="N9" s="4" t="s">
        <v>141</v>
      </c>
    </row>
    <row r="10" spans="1:14" ht="26.25" x14ac:dyDescent="0.45">
      <c r="A10" s="2">
        <v>9</v>
      </c>
      <c r="B10" s="2" t="s">
        <v>142</v>
      </c>
      <c r="C10" s="2" t="s">
        <v>125</v>
      </c>
      <c r="D10" s="2" t="s">
        <v>125</v>
      </c>
      <c r="E10" s="2" t="s">
        <v>143</v>
      </c>
      <c r="F10" s="2" t="s">
        <v>144</v>
      </c>
      <c r="G10" s="2" t="s">
        <v>145</v>
      </c>
      <c r="H10" s="2" t="s">
        <v>146</v>
      </c>
      <c r="I10" s="2" t="s">
        <v>147</v>
      </c>
      <c r="J10" s="2" t="s">
        <v>71</v>
      </c>
      <c r="K10" s="2" t="s">
        <v>148</v>
      </c>
      <c r="L10" s="2" t="s">
        <v>149</v>
      </c>
      <c r="M10" s="3">
        <v>860</v>
      </c>
      <c r="N10" s="2" t="s">
        <v>150</v>
      </c>
    </row>
    <row r="11" spans="1:14" ht="26.25" x14ac:dyDescent="0.45">
      <c r="A11" s="4">
        <v>10</v>
      </c>
      <c r="B11" s="4" t="s">
        <v>151</v>
      </c>
      <c r="C11" s="4" t="s">
        <v>152</v>
      </c>
      <c r="D11" s="4" t="s">
        <v>153</v>
      </c>
      <c r="E11" s="4" t="s">
        <v>154</v>
      </c>
      <c r="F11" s="4" t="s">
        <v>155</v>
      </c>
      <c r="G11" s="4" t="s">
        <v>156</v>
      </c>
      <c r="H11" s="4" t="s">
        <v>157</v>
      </c>
      <c r="I11" s="4" t="s">
        <v>158</v>
      </c>
      <c r="J11" s="4" t="s">
        <v>71</v>
      </c>
      <c r="K11" s="4" t="s">
        <v>72</v>
      </c>
      <c r="L11" s="4" t="s">
        <v>159</v>
      </c>
      <c r="M11" s="5">
        <v>490</v>
      </c>
      <c r="N11" s="4" t="s">
        <v>160</v>
      </c>
    </row>
    <row r="12" spans="1:14" x14ac:dyDescent="0.45">
      <c r="A12" s="2">
        <v>11</v>
      </c>
      <c r="B12" s="2" t="s">
        <v>161</v>
      </c>
      <c r="C12" s="2" t="s">
        <v>162</v>
      </c>
      <c r="D12" s="2" t="s">
        <v>163</v>
      </c>
      <c r="E12" s="2" t="s">
        <v>164</v>
      </c>
      <c r="F12" s="2" t="s">
        <v>165</v>
      </c>
      <c r="G12" s="2" t="s">
        <v>166</v>
      </c>
      <c r="H12" s="2" t="s">
        <v>167</v>
      </c>
      <c r="I12" s="2" t="s">
        <v>168</v>
      </c>
      <c r="J12" s="2" t="s">
        <v>71</v>
      </c>
      <c r="K12" s="2" t="s">
        <v>72</v>
      </c>
      <c r="L12" s="2" t="s">
        <v>73</v>
      </c>
      <c r="M12" s="3">
        <v>0</v>
      </c>
      <c r="N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1" customWidth="1"/>
    <col min="3" max="3" width="26" customWidth="1"/>
    <col min="4" max="4" width="18" customWidth="1"/>
    <col min="5" max="5" width="40" customWidth="1"/>
    <col min="6" max="6" width="38" customWidth="1"/>
    <col min="7" max="7" width="34" customWidth="1"/>
    <col min="8" max="8" width="26" customWidth="1"/>
    <col min="9" max="9" width="16" customWidth="1"/>
    <col min="10" max="10" width="14" customWidth="1"/>
    <col min="11" max="11" width="20" customWidth="1"/>
    <col min="12" max="12" width="36" customWidth="1"/>
    <col min="13" max="13" width="16" customWidth="1"/>
    <col min="14" max="14" width="42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45">
      <c r="A2" s="2">
        <v>1</v>
      </c>
      <c r="B2" s="2" t="s">
        <v>65</v>
      </c>
      <c r="C2" s="2" t="s">
        <v>169</v>
      </c>
      <c r="D2" s="2" t="s">
        <v>67</v>
      </c>
      <c r="E2" s="2" t="s">
        <v>68</v>
      </c>
      <c r="F2" s="2" t="s">
        <v>170</v>
      </c>
      <c r="G2" s="2" t="s">
        <v>67</v>
      </c>
      <c r="H2" s="2" t="s">
        <v>171</v>
      </c>
      <c r="I2" s="2" t="s">
        <v>172</v>
      </c>
      <c r="J2" s="2" t="s">
        <v>71</v>
      </c>
      <c r="K2" s="2" t="s">
        <v>72</v>
      </c>
      <c r="L2" s="2" t="s">
        <v>73</v>
      </c>
      <c r="M2" s="3">
        <v>0</v>
      </c>
      <c r="N2" s="2" t="s">
        <v>74</v>
      </c>
    </row>
    <row r="3" spans="1:14" ht="26.25" x14ac:dyDescent="0.45">
      <c r="A3" s="4">
        <v>2</v>
      </c>
      <c r="B3" s="4" t="s">
        <v>75</v>
      </c>
      <c r="C3" s="4" t="s">
        <v>173</v>
      </c>
      <c r="D3" s="4" t="s">
        <v>173</v>
      </c>
      <c r="E3" s="4" t="s">
        <v>174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72</v>
      </c>
      <c r="K3" s="4" t="s">
        <v>72</v>
      </c>
      <c r="L3" s="4" t="s">
        <v>179</v>
      </c>
      <c r="M3" s="5">
        <v>300</v>
      </c>
      <c r="N3" s="4" t="s">
        <v>180</v>
      </c>
    </row>
    <row r="4" spans="1:14" ht="26.25" x14ac:dyDescent="0.45">
      <c r="A4" s="2">
        <v>3</v>
      </c>
      <c r="B4" s="2" t="s">
        <v>84</v>
      </c>
      <c r="C4" s="2" t="s">
        <v>173</v>
      </c>
      <c r="D4" s="2" t="s">
        <v>173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89</v>
      </c>
      <c r="J4" s="2" t="s">
        <v>72</v>
      </c>
      <c r="K4" s="2" t="s">
        <v>72</v>
      </c>
      <c r="L4" s="2" t="s">
        <v>185</v>
      </c>
      <c r="M4" s="3">
        <v>380</v>
      </c>
      <c r="N4" s="2" t="s">
        <v>186</v>
      </c>
    </row>
    <row r="5" spans="1:14" ht="26.25" x14ac:dyDescent="0.45">
      <c r="A5" s="4">
        <v>4</v>
      </c>
      <c r="B5" s="4" t="s">
        <v>94</v>
      </c>
      <c r="C5" s="4" t="s">
        <v>187</v>
      </c>
      <c r="D5" s="4" t="s">
        <v>188</v>
      </c>
      <c r="E5" s="4" t="s">
        <v>189</v>
      </c>
      <c r="F5" s="4" t="s">
        <v>190</v>
      </c>
      <c r="G5" s="4" t="s">
        <v>191</v>
      </c>
      <c r="H5" s="4" t="s">
        <v>192</v>
      </c>
      <c r="I5" s="4" t="s">
        <v>193</v>
      </c>
      <c r="J5" s="4" t="s">
        <v>194</v>
      </c>
      <c r="K5" s="4" t="s">
        <v>72</v>
      </c>
      <c r="L5" s="4" t="s">
        <v>195</v>
      </c>
      <c r="M5" s="5">
        <v>400</v>
      </c>
      <c r="N5" s="4" t="s">
        <v>196</v>
      </c>
    </row>
    <row r="6" spans="1:14" ht="26.25" x14ac:dyDescent="0.45">
      <c r="A6" s="2">
        <v>5</v>
      </c>
      <c r="B6" s="2" t="s">
        <v>105</v>
      </c>
      <c r="C6" s="2" t="s">
        <v>197</v>
      </c>
      <c r="D6" s="2" t="s">
        <v>188</v>
      </c>
      <c r="E6" s="2" t="s">
        <v>198</v>
      </c>
      <c r="F6" s="2" t="s">
        <v>199</v>
      </c>
      <c r="G6" s="2" t="s">
        <v>200</v>
      </c>
      <c r="H6" s="2" t="s">
        <v>201</v>
      </c>
      <c r="I6" s="2" t="s">
        <v>202</v>
      </c>
      <c r="J6" s="2" t="s">
        <v>194</v>
      </c>
      <c r="K6" s="2" t="s">
        <v>72</v>
      </c>
      <c r="L6" s="2" t="s">
        <v>203</v>
      </c>
      <c r="M6" s="3">
        <v>380</v>
      </c>
      <c r="N6" s="2" t="s">
        <v>204</v>
      </c>
    </row>
    <row r="7" spans="1:14" ht="39.4" x14ac:dyDescent="0.45">
      <c r="A7" s="4">
        <v>6</v>
      </c>
      <c r="B7" s="4" t="s">
        <v>114</v>
      </c>
      <c r="C7" s="4" t="s">
        <v>205</v>
      </c>
      <c r="D7" s="4" t="s">
        <v>188</v>
      </c>
      <c r="E7" s="4" t="s">
        <v>206</v>
      </c>
      <c r="F7" s="4" t="s">
        <v>207</v>
      </c>
      <c r="G7" s="4" t="s">
        <v>208</v>
      </c>
      <c r="H7" s="4" t="s">
        <v>209</v>
      </c>
      <c r="I7" s="4" t="s">
        <v>210</v>
      </c>
      <c r="J7" s="4" t="s">
        <v>211</v>
      </c>
      <c r="K7" s="4" t="s">
        <v>212</v>
      </c>
      <c r="L7" s="4" t="s">
        <v>213</v>
      </c>
      <c r="M7" s="5">
        <v>560</v>
      </c>
      <c r="N7" s="4" t="s">
        <v>214</v>
      </c>
    </row>
    <row r="8" spans="1:14" ht="26.25" x14ac:dyDescent="0.45">
      <c r="A8" s="2">
        <v>7</v>
      </c>
      <c r="B8" s="2" t="s">
        <v>123</v>
      </c>
      <c r="C8" s="2" t="s">
        <v>215</v>
      </c>
      <c r="D8" s="2" t="s">
        <v>216</v>
      </c>
      <c r="E8" s="2" t="s">
        <v>217</v>
      </c>
      <c r="F8" s="2" t="s">
        <v>218</v>
      </c>
      <c r="G8" s="2" t="s">
        <v>219</v>
      </c>
      <c r="H8" s="2" t="s">
        <v>220</v>
      </c>
      <c r="I8" s="2" t="s">
        <v>221</v>
      </c>
      <c r="J8" s="2" t="s">
        <v>194</v>
      </c>
      <c r="K8" s="2" t="s">
        <v>72</v>
      </c>
      <c r="L8" s="2" t="s">
        <v>222</v>
      </c>
      <c r="M8" s="3">
        <v>350</v>
      </c>
      <c r="N8" s="2" t="s">
        <v>223</v>
      </c>
    </row>
    <row r="9" spans="1:14" ht="26.25" x14ac:dyDescent="0.45">
      <c r="A9" s="4">
        <v>8</v>
      </c>
      <c r="B9" s="4" t="s">
        <v>134</v>
      </c>
      <c r="C9" s="4" t="s">
        <v>224</v>
      </c>
      <c r="D9" s="4" t="s">
        <v>216</v>
      </c>
      <c r="E9" s="4" t="s">
        <v>225</v>
      </c>
      <c r="F9" s="4" t="s">
        <v>226</v>
      </c>
      <c r="G9" s="4" t="s">
        <v>227</v>
      </c>
      <c r="H9" s="4" t="s">
        <v>228</v>
      </c>
      <c r="I9" s="4" t="s">
        <v>229</v>
      </c>
      <c r="J9" s="4" t="s">
        <v>230</v>
      </c>
      <c r="K9" s="4" t="s">
        <v>231</v>
      </c>
      <c r="L9" s="4" t="s">
        <v>232</v>
      </c>
      <c r="M9" s="5">
        <v>400</v>
      </c>
      <c r="N9" s="4" t="s">
        <v>233</v>
      </c>
    </row>
    <row r="10" spans="1:14" ht="39.4" x14ac:dyDescent="0.45">
      <c r="A10" s="2">
        <v>9</v>
      </c>
      <c r="B10" s="2" t="s">
        <v>142</v>
      </c>
      <c r="C10" s="2" t="s">
        <v>234</v>
      </c>
      <c r="D10" s="2" t="s">
        <v>235</v>
      </c>
      <c r="E10" s="2" t="s">
        <v>236</v>
      </c>
      <c r="F10" s="2" t="s">
        <v>237</v>
      </c>
      <c r="G10" s="2" t="s">
        <v>238</v>
      </c>
      <c r="H10" s="2" t="s">
        <v>239</v>
      </c>
      <c r="I10" s="2" t="s">
        <v>240</v>
      </c>
      <c r="J10" s="2" t="s">
        <v>241</v>
      </c>
      <c r="K10" s="2" t="s">
        <v>242</v>
      </c>
      <c r="L10" s="2" t="s">
        <v>243</v>
      </c>
      <c r="M10" s="3">
        <v>510</v>
      </c>
      <c r="N10" s="2" t="s">
        <v>244</v>
      </c>
    </row>
    <row r="11" spans="1:14" ht="26.25" x14ac:dyDescent="0.45">
      <c r="A11" s="4">
        <v>10</v>
      </c>
      <c r="B11" s="4" t="s">
        <v>151</v>
      </c>
      <c r="C11" s="4" t="s">
        <v>235</v>
      </c>
      <c r="D11" s="4" t="s">
        <v>235</v>
      </c>
      <c r="E11" s="4" t="s">
        <v>245</v>
      </c>
      <c r="F11" s="4" t="s">
        <v>246</v>
      </c>
      <c r="G11" s="4" t="s">
        <v>247</v>
      </c>
      <c r="H11" s="4" t="s">
        <v>248</v>
      </c>
      <c r="I11" s="4" t="s">
        <v>89</v>
      </c>
      <c r="J11" s="4" t="s">
        <v>249</v>
      </c>
      <c r="K11" s="4" t="s">
        <v>72</v>
      </c>
      <c r="L11" s="4" t="s">
        <v>250</v>
      </c>
      <c r="M11" s="5">
        <v>480</v>
      </c>
      <c r="N11" s="4" t="s">
        <v>251</v>
      </c>
    </row>
    <row r="12" spans="1:14" ht="26.25" x14ac:dyDescent="0.45">
      <c r="A12" s="2">
        <v>11</v>
      </c>
      <c r="B12" s="2" t="s">
        <v>161</v>
      </c>
      <c r="C12" s="2" t="s">
        <v>252</v>
      </c>
      <c r="D12" s="2" t="s">
        <v>163</v>
      </c>
      <c r="E12" s="2" t="s">
        <v>253</v>
      </c>
      <c r="F12" s="2" t="s">
        <v>254</v>
      </c>
      <c r="G12" s="2" t="s">
        <v>166</v>
      </c>
      <c r="H12" s="2" t="s">
        <v>255</v>
      </c>
      <c r="I12" s="2" t="s">
        <v>256</v>
      </c>
      <c r="J12" s="2" t="s">
        <v>257</v>
      </c>
      <c r="K12" s="2" t="s">
        <v>72</v>
      </c>
      <c r="L12" s="2" t="s">
        <v>73</v>
      </c>
      <c r="M12" s="3">
        <v>170</v>
      </c>
      <c r="N12" s="2" t="s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1" customWidth="1"/>
    <col min="3" max="3" width="24" customWidth="1"/>
    <col min="4" max="4" width="22" customWidth="1"/>
    <col min="5" max="5" width="42" customWidth="1"/>
    <col min="6" max="6" width="40" customWidth="1"/>
    <col min="7" max="7" width="36" customWidth="1"/>
    <col min="8" max="8" width="26" customWidth="1"/>
    <col min="9" max="9" width="16" customWidth="1"/>
    <col min="10" max="10" width="12" customWidth="1"/>
    <col min="11" max="11" width="18" customWidth="1"/>
    <col min="12" max="12" width="36" customWidth="1"/>
    <col min="13" max="13" width="16" customWidth="1"/>
    <col min="14" max="14" width="44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ht="26.25" x14ac:dyDescent="0.45">
      <c r="A2" s="2">
        <v>1</v>
      </c>
      <c r="B2" s="2" t="s">
        <v>65</v>
      </c>
      <c r="C2" s="2" t="s">
        <v>259</v>
      </c>
      <c r="D2" s="2" t="s">
        <v>260</v>
      </c>
      <c r="E2" s="2" t="s">
        <v>261</v>
      </c>
      <c r="F2" s="2" t="s">
        <v>262</v>
      </c>
      <c r="G2" s="2" t="s">
        <v>263</v>
      </c>
      <c r="H2" s="2" t="s">
        <v>264</v>
      </c>
      <c r="I2" s="2" t="s">
        <v>265</v>
      </c>
      <c r="J2" s="2" t="s">
        <v>71</v>
      </c>
      <c r="K2" s="2" t="s">
        <v>72</v>
      </c>
      <c r="L2" s="2" t="s">
        <v>266</v>
      </c>
      <c r="M2" s="3">
        <v>320</v>
      </c>
      <c r="N2" s="2" t="s">
        <v>267</v>
      </c>
    </row>
    <row r="3" spans="1:14" ht="26.25" x14ac:dyDescent="0.45">
      <c r="A3" s="4">
        <v>2</v>
      </c>
      <c r="B3" s="4" t="s">
        <v>75</v>
      </c>
      <c r="C3" s="4" t="s">
        <v>268</v>
      </c>
      <c r="D3" s="4" t="s">
        <v>269</v>
      </c>
      <c r="E3" s="4" t="s">
        <v>270</v>
      </c>
      <c r="F3" s="4" t="s">
        <v>271</v>
      </c>
      <c r="G3" s="4" t="s">
        <v>272</v>
      </c>
      <c r="H3" s="4" t="s">
        <v>273</v>
      </c>
      <c r="I3" s="4" t="s">
        <v>89</v>
      </c>
      <c r="J3" s="4" t="s">
        <v>72</v>
      </c>
      <c r="K3" s="4" t="s">
        <v>274</v>
      </c>
      <c r="L3" s="4" t="s">
        <v>275</v>
      </c>
      <c r="M3" s="5">
        <v>300</v>
      </c>
      <c r="N3" s="4" t="s">
        <v>276</v>
      </c>
    </row>
    <row r="4" spans="1:14" ht="26.25" x14ac:dyDescent="0.45">
      <c r="A4" s="2">
        <v>3</v>
      </c>
      <c r="B4" s="2" t="s">
        <v>84</v>
      </c>
      <c r="C4" s="2" t="s">
        <v>277</v>
      </c>
      <c r="D4" s="2" t="s">
        <v>269</v>
      </c>
      <c r="E4" s="2" t="s">
        <v>278</v>
      </c>
      <c r="F4" s="2" t="s">
        <v>279</v>
      </c>
      <c r="G4" s="2" t="s">
        <v>280</v>
      </c>
      <c r="H4" s="2" t="s">
        <v>281</v>
      </c>
      <c r="I4" s="2" t="s">
        <v>110</v>
      </c>
      <c r="J4" s="2" t="s">
        <v>282</v>
      </c>
      <c r="K4" s="2" t="s">
        <v>283</v>
      </c>
      <c r="L4" s="2" t="s">
        <v>284</v>
      </c>
      <c r="M4" s="3">
        <v>430</v>
      </c>
      <c r="N4" s="2" t="s">
        <v>285</v>
      </c>
    </row>
    <row r="5" spans="1:14" ht="26.25" x14ac:dyDescent="0.45">
      <c r="A5" s="4">
        <v>4</v>
      </c>
      <c r="B5" s="4" t="s">
        <v>94</v>
      </c>
      <c r="C5" s="4" t="s">
        <v>286</v>
      </c>
      <c r="D5" s="4" t="s">
        <v>269</v>
      </c>
      <c r="E5" s="4" t="s">
        <v>287</v>
      </c>
      <c r="F5" s="4" t="s">
        <v>288</v>
      </c>
      <c r="G5" s="4" t="s">
        <v>289</v>
      </c>
      <c r="H5" s="4" t="s">
        <v>290</v>
      </c>
      <c r="I5" s="4" t="s">
        <v>291</v>
      </c>
      <c r="J5" s="4" t="s">
        <v>292</v>
      </c>
      <c r="K5" s="4" t="s">
        <v>293</v>
      </c>
      <c r="L5" s="4" t="s">
        <v>294</v>
      </c>
      <c r="M5" s="5">
        <v>440</v>
      </c>
      <c r="N5" s="4" t="s">
        <v>295</v>
      </c>
    </row>
    <row r="6" spans="1:14" ht="52.5" x14ac:dyDescent="0.45">
      <c r="A6" s="2">
        <v>5</v>
      </c>
      <c r="B6" s="2" t="s">
        <v>105</v>
      </c>
      <c r="C6" s="2" t="s">
        <v>296</v>
      </c>
      <c r="D6" s="2" t="s">
        <v>269</v>
      </c>
      <c r="E6" s="2" t="s">
        <v>297</v>
      </c>
      <c r="F6" s="2" t="s">
        <v>298</v>
      </c>
      <c r="G6" s="2" t="s">
        <v>299</v>
      </c>
      <c r="H6" s="2" t="s">
        <v>300</v>
      </c>
      <c r="I6" s="2" t="s">
        <v>147</v>
      </c>
      <c r="J6" s="2" t="s">
        <v>301</v>
      </c>
      <c r="K6" s="2" t="s">
        <v>302</v>
      </c>
      <c r="L6" s="2" t="s">
        <v>303</v>
      </c>
      <c r="M6" s="3">
        <v>600</v>
      </c>
      <c r="N6" s="2" t="s">
        <v>304</v>
      </c>
    </row>
    <row r="7" spans="1:14" ht="39.4" x14ac:dyDescent="0.45">
      <c r="A7" s="4">
        <v>6</v>
      </c>
      <c r="B7" s="4" t="s">
        <v>114</v>
      </c>
      <c r="C7" s="4" t="s">
        <v>305</v>
      </c>
      <c r="D7" s="4" t="s">
        <v>269</v>
      </c>
      <c r="E7" s="4" t="s">
        <v>306</v>
      </c>
      <c r="F7" s="4" t="s">
        <v>307</v>
      </c>
      <c r="G7" s="4" t="s">
        <v>308</v>
      </c>
      <c r="H7" s="4" t="s">
        <v>309</v>
      </c>
      <c r="I7" s="4" t="s">
        <v>310</v>
      </c>
      <c r="J7" s="4" t="s">
        <v>71</v>
      </c>
      <c r="K7" s="4" t="s">
        <v>311</v>
      </c>
      <c r="L7" s="4" t="s">
        <v>312</v>
      </c>
      <c r="M7" s="5">
        <v>440</v>
      </c>
      <c r="N7" s="4" t="s">
        <v>313</v>
      </c>
    </row>
    <row r="8" spans="1:14" ht="39.4" x14ac:dyDescent="0.45">
      <c r="A8" s="2">
        <v>7</v>
      </c>
      <c r="B8" s="2" t="s">
        <v>123</v>
      </c>
      <c r="C8" s="2" t="s">
        <v>314</v>
      </c>
      <c r="D8" s="2" t="s">
        <v>315</v>
      </c>
      <c r="E8" s="2" t="s">
        <v>316</v>
      </c>
      <c r="F8" s="2" t="s">
        <v>317</v>
      </c>
      <c r="G8" s="2" t="s">
        <v>318</v>
      </c>
      <c r="H8" s="2" t="s">
        <v>319</v>
      </c>
      <c r="I8" s="2" t="s">
        <v>320</v>
      </c>
      <c r="J8" s="2" t="s">
        <v>321</v>
      </c>
      <c r="K8" s="2" t="s">
        <v>283</v>
      </c>
      <c r="L8" s="2" t="s">
        <v>322</v>
      </c>
      <c r="M8" s="3">
        <v>400</v>
      </c>
      <c r="N8" s="2" t="s">
        <v>323</v>
      </c>
    </row>
    <row r="9" spans="1:14" ht="26.25" x14ac:dyDescent="0.45">
      <c r="A9" s="4">
        <v>8</v>
      </c>
      <c r="B9" s="4" t="s">
        <v>134</v>
      </c>
      <c r="C9" s="4" t="s">
        <v>324</v>
      </c>
      <c r="D9" s="4" t="s">
        <v>315</v>
      </c>
      <c r="E9" s="4" t="s">
        <v>325</v>
      </c>
      <c r="F9" s="4" t="s">
        <v>326</v>
      </c>
      <c r="G9" s="4" t="s">
        <v>327</v>
      </c>
      <c r="H9" s="4" t="s">
        <v>328</v>
      </c>
      <c r="I9" s="4" t="s">
        <v>329</v>
      </c>
      <c r="J9" s="4" t="s">
        <v>72</v>
      </c>
      <c r="K9" s="4" t="s">
        <v>283</v>
      </c>
      <c r="L9" s="4" t="s">
        <v>330</v>
      </c>
      <c r="M9" s="5">
        <v>300</v>
      </c>
      <c r="N9" s="4" t="s">
        <v>331</v>
      </c>
    </row>
    <row r="10" spans="1:14" ht="26.25" x14ac:dyDescent="0.45">
      <c r="A10" s="2">
        <v>9</v>
      </c>
      <c r="B10" s="2" t="s">
        <v>142</v>
      </c>
      <c r="C10" s="2" t="s">
        <v>332</v>
      </c>
      <c r="D10" s="2" t="s">
        <v>315</v>
      </c>
      <c r="E10" s="2" t="s">
        <v>333</v>
      </c>
      <c r="F10" s="2" t="s">
        <v>334</v>
      </c>
      <c r="G10" s="2" t="s">
        <v>335</v>
      </c>
      <c r="H10" s="2" t="s">
        <v>336</v>
      </c>
      <c r="I10" s="2" t="s">
        <v>337</v>
      </c>
      <c r="J10" s="2" t="s">
        <v>338</v>
      </c>
      <c r="K10" s="2" t="s">
        <v>339</v>
      </c>
      <c r="L10" s="2" t="s">
        <v>340</v>
      </c>
      <c r="M10" s="3">
        <v>380</v>
      </c>
      <c r="N10" s="2" t="s">
        <v>341</v>
      </c>
    </row>
    <row r="11" spans="1:14" ht="26.25" x14ac:dyDescent="0.45">
      <c r="A11" s="4">
        <v>10</v>
      </c>
      <c r="B11" s="4" t="s">
        <v>151</v>
      </c>
      <c r="C11" s="4" t="s">
        <v>342</v>
      </c>
      <c r="D11" s="4" t="s">
        <v>315</v>
      </c>
      <c r="E11" s="4" t="s">
        <v>343</v>
      </c>
      <c r="F11" s="4" t="s">
        <v>344</v>
      </c>
      <c r="G11" s="4" t="s">
        <v>345</v>
      </c>
      <c r="H11" s="4" t="s">
        <v>89</v>
      </c>
      <c r="I11" s="4" t="s">
        <v>89</v>
      </c>
      <c r="J11" s="4" t="s">
        <v>72</v>
      </c>
      <c r="K11" s="4" t="s">
        <v>71</v>
      </c>
      <c r="L11" s="4" t="s">
        <v>346</v>
      </c>
      <c r="M11" s="5">
        <v>270</v>
      </c>
      <c r="N11" s="4" t="s">
        <v>347</v>
      </c>
    </row>
    <row r="12" spans="1:14" ht="26.25" x14ac:dyDescent="0.45">
      <c r="A12" s="2">
        <v>11</v>
      </c>
      <c r="B12" s="2" t="s">
        <v>161</v>
      </c>
      <c r="C12" s="2" t="s">
        <v>348</v>
      </c>
      <c r="D12" s="2" t="s">
        <v>163</v>
      </c>
      <c r="E12" s="2" t="s">
        <v>349</v>
      </c>
      <c r="F12" s="2" t="s">
        <v>350</v>
      </c>
      <c r="G12" s="2" t="s">
        <v>163</v>
      </c>
      <c r="H12" s="2" t="s">
        <v>351</v>
      </c>
      <c r="I12" s="2" t="s">
        <v>352</v>
      </c>
      <c r="J12" s="2" t="s">
        <v>71</v>
      </c>
      <c r="K12" s="2" t="s">
        <v>72</v>
      </c>
      <c r="L12" s="2" t="s">
        <v>73</v>
      </c>
      <c r="M12" s="3">
        <v>0</v>
      </c>
      <c r="N1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workbookViewId="0">
      <pane ySplit="1" topLeftCell="A2" activePane="bottomLeft" state="frozen"/>
      <selection pane="bottomLeft" activeCell="C7" sqref="C7"/>
    </sheetView>
  </sheetViews>
  <sheetFormatPr defaultRowHeight="14.25" x14ac:dyDescent="0.45"/>
  <cols>
    <col min="1" max="1" width="5" customWidth="1"/>
    <col min="2" max="2" width="11" customWidth="1"/>
    <col min="3" max="3" width="26" customWidth="1"/>
    <col min="4" max="4" width="18" customWidth="1"/>
    <col min="5" max="6" width="40" customWidth="1"/>
    <col min="7" max="7" width="34" customWidth="1"/>
    <col min="8" max="8" width="26" customWidth="1"/>
    <col min="9" max="9" width="16" customWidth="1"/>
    <col min="10" max="10" width="22" customWidth="1"/>
    <col min="11" max="11" width="20" customWidth="1"/>
    <col min="12" max="12" width="36" customWidth="1"/>
    <col min="13" max="13" width="16" customWidth="1"/>
    <col min="14" max="14" width="44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45">
      <c r="A2" s="2">
        <v>1</v>
      </c>
      <c r="B2" s="2" t="s">
        <v>65</v>
      </c>
      <c r="C2" s="2" t="s">
        <v>169</v>
      </c>
      <c r="D2" s="2" t="s">
        <v>67</v>
      </c>
      <c r="E2" s="2" t="s">
        <v>68</v>
      </c>
      <c r="F2" s="2" t="s">
        <v>170</v>
      </c>
      <c r="G2" s="2" t="s">
        <v>67</v>
      </c>
      <c r="H2" s="2" t="s">
        <v>171</v>
      </c>
      <c r="I2" s="2" t="s">
        <v>172</v>
      </c>
      <c r="J2" s="2" t="s">
        <v>71</v>
      </c>
      <c r="K2" s="2" t="s">
        <v>72</v>
      </c>
      <c r="L2" s="2" t="s">
        <v>73</v>
      </c>
      <c r="M2" s="3">
        <v>0</v>
      </c>
      <c r="N2" s="2" t="s">
        <v>74</v>
      </c>
    </row>
    <row r="3" spans="1:14" ht="26.25" x14ac:dyDescent="0.45">
      <c r="A3" s="4">
        <v>2</v>
      </c>
      <c r="B3" s="4" t="s">
        <v>75</v>
      </c>
      <c r="C3" s="4" t="s">
        <v>173</v>
      </c>
      <c r="D3" s="4" t="s">
        <v>173</v>
      </c>
      <c r="E3" s="4" t="s">
        <v>174</v>
      </c>
      <c r="F3" s="4" t="s">
        <v>175</v>
      </c>
      <c r="G3" s="4" t="s">
        <v>176</v>
      </c>
      <c r="H3" s="4" t="s">
        <v>177</v>
      </c>
      <c r="I3" s="4" t="s">
        <v>178</v>
      </c>
      <c r="J3" s="4" t="s">
        <v>72</v>
      </c>
      <c r="K3" s="4" t="s">
        <v>72</v>
      </c>
      <c r="L3" s="4" t="s">
        <v>179</v>
      </c>
      <c r="M3" s="5">
        <v>300</v>
      </c>
      <c r="N3" s="4" t="s">
        <v>180</v>
      </c>
    </row>
    <row r="4" spans="1:14" ht="26.25" x14ac:dyDescent="0.45">
      <c r="A4" s="2">
        <v>3</v>
      </c>
      <c r="B4" s="2" t="s">
        <v>84</v>
      </c>
      <c r="C4" s="2" t="s">
        <v>173</v>
      </c>
      <c r="D4" s="2" t="s">
        <v>173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89</v>
      </c>
      <c r="J4" s="2" t="s">
        <v>72</v>
      </c>
      <c r="K4" s="2" t="s">
        <v>72</v>
      </c>
      <c r="L4" s="2" t="s">
        <v>185</v>
      </c>
      <c r="M4" s="3">
        <v>380</v>
      </c>
      <c r="N4" s="2" t="s">
        <v>186</v>
      </c>
    </row>
    <row r="5" spans="1:14" ht="26.25" x14ac:dyDescent="0.45">
      <c r="A5" s="4">
        <v>4</v>
      </c>
      <c r="B5" s="4" t="s">
        <v>94</v>
      </c>
      <c r="C5" s="4" t="s">
        <v>353</v>
      </c>
      <c r="D5" s="4" t="s">
        <v>173</v>
      </c>
      <c r="E5" s="4" t="s">
        <v>354</v>
      </c>
      <c r="F5" s="4" t="s">
        <v>355</v>
      </c>
      <c r="G5" s="4" t="s">
        <v>356</v>
      </c>
      <c r="H5" s="4" t="s">
        <v>201</v>
      </c>
      <c r="I5" s="4" t="s">
        <v>357</v>
      </c>
      <c r="J5" s="4" t="s">
        <v>358</v>
      </c>
      <c r="K5" s="4" t="s">
        <v>72</v>
      </c>
      <c r="L5" s="4" t="s">
        <v>359</v>
      </c>
      <c r="M5" s="5">
        <v>430</v>
      </c>
      <c r="N5" s="4" t="s">
        <v>360</v>
      </c>
    </row>
    <row r="6" spans="1:14" ht="26.25" x14ac:dyDescent="0.45">
      <c r="A6" s="2">
        <v>5</v>
      </c>
      <c r="B6" s="2" t="s">
        <v>105</v>
      </c>
      <c r="C6" s="2" t="s">
        <v>173</v>
      </c>
      <c r="D6" s="2" t="s">
        <v>173</v>
      </c>
      <c r="E6" s="2" t="s">
        <v>361</v>
      </c>
      <c r="F6" s="2" t="s">
        <v>362</v>
      </c>
      <c r="G6" s="2" t="s">
        <v>363</v>
      </c>
      <c r="H6" s="2" t="s">
        <v>364</v>
      </c>
      <c r="I6" s="2" t="s">
        <v>89</v>
      </c>
      <c r="J6" s="2" t="s">
        <v>72</v>
      </c>
      <c r="K6" s="2" t="s">
        <v>72</v>
      </c>
      <c r="L6" s="2" t="s">
        <v>365</v>
      </c>
      <c r="M6" s="3">
        <v>350</v>
      </c>
      <c r="N6" s="2" t="s">
        <v>366</v>
      </c>
    </row>
    <row r="7" spans="1:14" ht="26.25" x14ac:dyDescent="0.45">
      <c r="A7" s="4">
        <v>6</v>
      </c>
      <c r="B7" s="4" t="s">
        <v>114</v>
      </c>
      <c r="C7" s="4" t="s">
        <v>367</v>
      </c>
      <c r="D7" s="4" t="s">
        <v>216</v>
      </c>
      <c r="E7" s="4" t="s">
        <v>368</v>
      </c>
      <c r="F7" s="4" t="s">
        <v>369</v>
      </c>
      <c r="G7" s="4" t="s">
        <v>370</v>
      </c>
      <c r="H7" s="4" t="s">
        <v>220</v>
      </c>
      <c r="I7" s="4" t="s">
        <v>371</v>
      </c>
      <c r="J7" s="4" t="s">
        <v>194</v>
      </c>
      <c r="K7" s="4" t="s">
        <v>72</v>
      </c>
      <c r="L7" s="4" t="s">
        <v>222</v>
      </c>
      <c r="M7" s="5">
        <v>350</v>
      </c>
      <c r="N7" s="4" t="s">
        <v>372</v>
      </c>
    </row>
    <row r="8" spans="1:14" ht="26.25" x14ac:dyDescent="0.45">
      <c r="A8" s="2">
        <v>7</v>
      </c>
      <c r="B8" s="2" t="s">
        <v>123</v>
      </c>
      <c r="C8" s="2" t="s">
        <v>224</v>
      </c>
      <c r="D8" s="2" t="s">
        <v>216</v>
      </c>
      <c r="E8" s="2" t="s">
        <v>225</v>
      </c>
      <c r="F8" s="2" t="s">
        <v>373</v>
      </c>
      <c r="G8" s="2" t="s">
        <v>374</v>
      </c>
      <c r="H8" s="2" t="s">
        <v>228</v>
      </c>
      <c r="I8" s="2" t="s">
        <v>229</v>
      </c>
      <c r="J8" s="2" t="s">
        <v>375</v>
      </c>
      <c r="K8" s="2" t="s">
        <v>231</v>
      </c>
      <c r="L8" s="2" t="s">
        <v>232</v>
      </c>
      <c r="M8" s="3">
        <v>400</v>
      </c>
      <c r="N8" s="2" t="s">
        <v>233</v>
      </c>
    </row>
    <row r="9" spans="1:14" ht="39.4" x14ac:dyDescent="0.45">
      <c r="A9" s="4">
        <v>8</v>
      </c>
      <c r="B9" s="4" t="s">
        <v>134</v>
      </c>
      <c r="C9" s="4" t="s">
        <v>376</v>
      </c>
      <c r="D9" s="4" t="s">
        <v>235</v>
      </c>
      <c r="E9" s="4" t="s">
        <v>377</v>
      </c>
      <c r="F9" s="4" t="s">
        <v>378</v>
      </c>
      <c r="G9" s="4" t="s">
        <v>379</v>
      </c>
      <c r="H9" s="4" t="s">
        <v>380</v>
      </c>
      <c r="I9" s="4" t="s">
        <v>240</v>
      </c>
      <c r="J9" s="4" t="s">
        <v>241</v>
      </c>
      <c r="K9" s="4" t="s">
        <v>381</v>
      </c>
      <c r="L9" s="4" t="s">
        <v>382</v>
      </c>
      <c r="M9" s="5">
        <v>520</v>
      </c>
      <c r="N9" s="4" t="s">
        <v>383</v>
      </c>
    </row>
    <row r="10" spans="1:14" ht="26.25" x14ac:dyDescent="0.45">
      <c r="A10" s="2">
        <v>9</v>
      </c>
      <c r="B10" s="2" t="s">
        <v>142</v>
      </c>
      <c r="C10" s="2" t="s">
        <v>235</v>
      </c>
      <c r="D10" s="2" t="s">
        <v>235</v>
      </c>
      <c r="E10" s="2" t="s">
        <v>245</v>
      </c>
      <c r="F10" s="2" t="s">
        <v>246</v>
      </c>
      <c r="G10" s="2" t="s">
        <v>247</v>
      </c>
      <c r="H10" s="2" t="s">
        <v>248</v>
      </c>
      <c r="I10" s="2" t="s">
        <v>89</v>
      </c>
      <c r="J10" s="2" t="s">
        <v>384</v>
      </c>
      <c r="K10" s="2" t="s">
        <v>72</v>
      </c>
      <c r="L10" s="2" t="s">
        <v>250</v>
      </c>
      <c r="M10" s="3">
        <v>480</v>
      </c>
      <c r="N10" s="2" t="s">
        <v>251</v>
      </c>
    </row>
    <row r="11" spans="1:14" ht="26.25" x14ac:dyDescent="0.45">
      <c r="A11" s="4">
        <v>10</v>
      </c>
      <c r="B11" s="4" t="s">
        <v>151</v>
      </c>
      <c r="C11" s="4" t="s">
        <v>385</v>
      </c>
      <c r="D11" s="4" t="s">
        <v>235</v>
      </c>
      <c r="E11" s="4" t="s">
        <v>386</v>
      </c>
      <c r="F11" s="4" t="s">
        <v>387</v>
      </c>
      <c r="G11" s="4" t="s">
        <v>388</v>
      </c>
      <c r="H11" s="4" t="s">
        <v>389</v>
      </c>
      <c r="I11" s="4" t="s">
        <v>390</v>
      </c>
      <c r="J11" s="4" t="s">
        <v>72</v>
      </c>
      <c r="K11" s="4" t="s">
        <v>72</v>
      </c>
      <c r="L11" s="4" t="s">
        <v>391</v>
      </c>
      <c r="M11" s="5">
        <v>400</v>
      </c>
      <c r="N11" s="4" t="s">
        <v>392</v>
      </c>
    </row>
    <row r="12" spans="1:14" ht="26.25" x14ac:dyDescent="0.45">
      <c r="A12" s="2">
        <v>11</v>
      </c>
      <c r="B12" s="2" t="s">
        <v>161</v>
      </c>
      <c r="C12" s="2" t="s">
        <v>252</v>
      </c>
      <c r="D12" s="2" t="s">
        <v>163</v>
      </c>
      <c r="E12" s="2" t="s">
        <v>253</v>
      </c>
      <c r="F12" s="2" t="s">
        <v>254</v>
      </c>
      <c r="G12" s="2" t="s">
        <v>166</v>
      </c>
      <c r="H12" s="2" t="s">
        <v>255</v>
      </c>
      <c r="I12" s="2" t="s">
        <v>256</v>
      </c>
      <c r="J12" s="2" t="s">
        <v>257</v>
      </c>
      <c r="K12" s="2" t="s">
        <v>72</v>
      </c>
      <c r="L12" s="2" t="s">
        <v>73</v>
      </c>
      <c r="M12" s="3">
        <v>170</v>
      </c>
      <c r="N12" s="2" t="s">
        <v>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3452-2780-447D-A43B-872FF9867E9B}">
  <dimension ref="A1:N25"/>
  <sheetViews>
    <sheetView tabSelected="1" zoomScale="130" zoomScaleNormal="130" workbookViewId="0">
      <pane ySplit="1" topLeftCell="A9" activePane="bottomLeft" state="frozen"/>
      <selection pane="bottomLeft" activeCell="E20" sqref="E20"/>
    </sheetView>
  </sheetViews>
  <sheetFormatPr defaultRowHeight="14.25" x14ac:dyDescent="0.45"/>
  <cols>
    <col min="1" max="1" width="5" customWidth="1"/>
    <col min="2" max="2" width="11" customWidth="1"/>
    <col min="3" max="3" width="26" customWidth="1"/>
    <col min="4" max="4" width="18" customWidth="1"/>
    <col min="5" max="6" width="40" customWidth="1"/>
    <col min="7" max="7" width="34" customWidth="1"/>
    <col min="8" max="8" width="26" customWidth="1"/>
    <col min="9" max="9" width="16" customWidth="1"/>
    <col min="10" max="10" width="22" customWidth="1"/>
    <col min="11" max="11" width="20" customWidth="1"/>
    <col min="12" max="12" width="36" customWidth="1"/>
    <col min="13" max="13" width="16" customWidth="1"/>
    <col min="14" max="14" width="44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45">
      <c r="A2" s="2">
        <v>1</v>
      </c>
      <c r="B2" s="2" t="s">
        <v>65</v>
      </c>
      <c r="C2" s="2" t="s">
        <v>169</v>
      </c>
      <c r="D2" s="2" t="s">
        <v>67</v>
      </c>
      <c r="E2" s="2" t="s">
        <v>68</v>
      </c>
      <c r="F2" s="2" t="s">
        <v>170</v>
      </c>
      <c r="G2" s="2" t="s">
        <v>67</v>
      </c>
      <c r="H2" s="2" t="s">
        <v>171</v>
      </c>
      <c r="I2" s="2" t="s">
        <v>172</v>
      </c>
      <c r="J2" s="2" t="s">
        <v>71</v>
      </c>
      <c r="K2" s="2" t="s">
        <v>72</v>
      </c>
      <c r="L2" s="2" t="s">
        <v>73</v>
      </c>
      <c r="M2" s="3">
        <v>0</v>
      </c>
      <c r="N2" s="2" t="s">
        <v>74</v>
      </c>
    </row>
    <row r="3" spans="1:14" ht="26.25" x14ac:dyDescent="0.45">
      <c r="A3" s="4">
        <v>2</v>
      </c>
      <c r="B3" s="4" t="s">
        <v>75</v>
      </c>
      <c r="C3" s="8" t="s">
        <v>173</v>
      </c>
      <c r="D3" s="4" t="s">
        <v>173</v>
      </c>
      <c r="E3" s="8" t="s">
        <v>174</v>
      </c>
      <c r="F3" s="8" t="s">
        <v>175</v>
      </c>
      <c r="G3" s="8" t="s">
        <v>176</v>
      </c>
      <c r="H3" s="4" t="s">
        <v>177</v>
      </c>
      <c r="I3" s="4" t="s">
        <v>178</v>
      </c>
      <c r="J3" s="4" t="s">
        <v>72</v>
      </c>
      <c r="K3" s="4" t="s">
        <v>72</v>
      </c>
      <c r="L3" s="4" t="s">
        <v>179</v>
      </c>
      <c r="M3" s="5">
        <v>300</v>
      </c>
      <c r="N3" s="4" t="s">
        <v>180</v>
      </c>
    </row>
    <row r="4" spans="1:14" ht="26.25" x14ac:dyDescent="0.45">
      <c r="A4" s="2">
        <v>3</v>
      </c>
      <c r="B4" s="2" t="s">
        <v>84</v>
      </c>
      <c r="C4" s="2" t="s">
        <v>173</v>
      </c>
      <c r="D4" s="2" t="s">
        <v>173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89</v>
      </c>
      <c r="J4" s="2" t="s">
        <v>72</v>
      </c>
      <c r="K4" s="2" t="s">
        <v>72</v>
      </c>
      <c r="L4" s="2" t="s">
        <v>185</v>
      </c>
      <c r="M4" s="3">
        <v>380</v>
      </c>
      <c r="N4" s="2" t="s">
        <v>186</v>
      </c>
    </row>
    <row r="5" spans="1:14" ht="26.25" x14ac:dyDescent="0.45">
      <c r="A5" s="4">
        <v>4</v>
      </c>
      <c r="B5" s="4" t="s">
        <v>94</v>
      </c>
      <c r="C5" s="8" t="s">
        <v>353</v>
      </c>
      <c r="D5" s="4" t="s">
        <v>173</v>
      </c>
      <c r="E5" s="8" t="s">
        <v>354</v>
      </c>
      <c r="F5" s="8" t="s">
        <v>355</v>
      </c>
      <c r="G5" s="4" t="s">
        <v>356</v>
      </c>
      <c r="H5" s="4" t="s">
        <v>201</v>
      </c>
      <c r="I5" s="4" t="s">
        <v>357</v>
      </c>
      <c r="J5" s="4" t="s">
        <v>358</v>
      </c>
      <c r="K5" s="4" t="s">
        <v>72</v>
      </c>
      <c r="L5" s="4" t="s">
        <v>359</v>
      </c>
      <c r="M5" s="5">
        <v>430</v>
      </c>
      <c r="N5" s="4" t="s">
        <v>360</v>
      </c>
    </row>
    <row r="6" spans="1:14" ht="26.25" x14ac:dyDescent="0.45">
      <c r="A6" s="2">
        <v>5</v>
      </c>
      <c r="B6" s="2" t="s">
        <v>105</v>
      </c>
      <c r="C6" s="2" t="s">
        <v>173</v>
      </c>
      <c r="D6" s="2" t="s">
        <v>173</v>
      </c>
      <c r="E6" s="2" t="s">
        <v>361</v>
      </c>
      <c r="F6" s="2" t="s">
        <v>362</v>
      </c>
      <c r="G6" s="2" t="s">
        <v>363</v>
      </c>
      <c r="H6" s="2" t="s">
        <v>364</v>
      </c>
      <c r="I6" s="2" t="s">
        <v>89</v>
      </c>
      <c r="J6" s="2" t="s">
        <v>72</v>
      </c>
      <c r="K6" s="2" t="s">
        <v>72</v>
      </c>
      <c r="L6" s="2" t="s">
        <v>365</v>
      </c>
      <c r="M6" s="3">
        <v>350</v>
      </c>
      <c r="N6" s="2" t="s">
        <v>366</v>
      </c>
    </row>
    <row r="7" spans="1:14" ht="26.25" x14ac:dyDescent="0.45">
      <c r="A7" s="4">
        <v>6</v>
      </c>
      <c r="B7" s="4" t="s">
        <v>114</v>
      </c>
      <c r="C7" s="8" t="s">
        <v>1034</v>
      </c>
      <c r="D7" s="4" t="s">
        <v>216</v>
      </c>
      <c r="E7" s="4" t="s">
        <v>368</v>
      </c>
      <c r="F7" s="4" t="s">
        <v>369</v>
      </c>
      <c r="G7" s="4" t="s">
        <v>370</v>
      </c>
      <c r="H7" s="4" t="s">
        <v>220</v>
      </c>
      <c r="I7" s="4" t="s">
        <v>371</v>
      </c>
      <c r="J7" s="4" t="s">
        <v>194</v>
      </c>
      <c r="K7" s="4" t="s">
        <v>72</v>
      </c>
      <c r="L7" s="4" t="s">
        <v>222</v>
      </c>
      <c r="M7" s="5">
        <v>350</v>
      </c>
      <c r="N7" s="4" t="s">
        <v>372</v>
      </c>
    </row>
    <row r="8" spans="1:14" ht="26.25" x14ac:dyDescent="0.45">
      <c r="A8" s="2">
        <v>7</v>
      </c>
      <c r="B8" s="2" t="s">
        <v>123</v>
      </c>
      <c r="C8" s="8" t="s">
        <v>224</v>
      </c>
      <c r="D8" s="2" t="s">
        <v>216</v>
      </c>
      <c r="E8" s="2" t="s">
        <v>225</v>
      </c>
      <c r="F8" s="2" t="s">
        <v>373</v>
      </c>
      <c r="G8" s="2" t="s">
        <v>374</v>
      </c>
      <c r="H8" s="2" t="s">
        <v>228</v>
      </c>
      <c r="I8" s="2" t="s">
        <v>229</v>
      </c>
      <c r="J8" s="2" t="s">
        <v>375</v>
      </c>
      <c r="K8" s="2" t="s">
        <v>231</v>
      </c>
      <c r="L8" s="2" t="s">
        <v>232</v>
      </c>
      <c r="M8" s="3">
        <v>400</v>
      </c>
      <c r="N8" s="2" t="s">
        <v>233</v>
      </c>
    </row>
    <row r="9" spans="1:14" ht="39.4" x14ac:dyDescent="0.45">
      <c r="A9" s="4">
        <v>8</v>
      </c>
      <c r="B9" s="4" t="s">
        <v>134</v>
      </c>
      <c r="C9" s="4" t="s">
        <v>376</v>
      </c>
      <c r="D9" s="4" t="s">
        <v>235</v>
      </c>
      <c r="E9" s="4" t="s">
        <v>377</v>
      </c>
      <c r="F9" s="4" t="s">
        <v>378</v>
      </c>
      <c r="G9" s="4" t="s">
        <v>379</v>
      </c>
      <c r="H9" s="4" t="s">
        <v>380</v>
      </c>
      <c r="I9" s="4" t="s">
        <v>240</v>
      </c>
      <c r="J9" s="4" t="s">
        <v>241</v>
      </c>
      <c r="K9" s="4" t="s">
        <v>381</v>
      </c>
      <c r="L9" s="4" t="s">
        <v>382</v>
      </c>
      <c r="M9" s="5">
        <v>520</v>
      </c>
      <c r="N9" s="4" t="s">
        <v>383</v>
      </c>
    </row>
    <row r="10" spans="1:14" ht="26.25" x14ac:dyDescent="0.45">
      <c r="A10" s="2">
        <v>9</v>
      </c>
      <c r="B10" s="2" t="s">
        <v>142</v>
      </c>
      <c r="C10" s="8" t="s">
        <v>235</v>
      </c>
      <c r="D10" s="8" t="s">
        <v>1035</v>
      </c>
      <c r="E10" s="2" t="s">
        <v>245</v>
      </c>
      <c r="F10" s="2" t="s">
        <v>246</v>
      </c>
      <c r="G10" s="2" t="s">
        <v>247</v>
      </c>
      <c r="H10" s="2" t="s">
        <v>248</v>
      </c>
      <c r="I10" s="2" t="s">
        <v>89</v>
      </c>
      <c r="J10" s="2" t="s">
        <v>384</v>
      </c>
      <c r="K10" s="2" t="s">
        <v>72</v>
      </c>
      <c r="L10" s="2" t="s">
        <v>250</v>
      </c>
      <c r="M10" s="3">
        <v>480</v>
      </c>
      <c r="N10" s="2" t="s">
        <v>251</v>
      </c>
    </row>
    <row r="11" spans="1:14" ht="26.25" x14ac:dyDescent="0.45">
      <c r="A11" s="4">
        <v>10</v>
      </c>
      <c r="B11" s="4" t="s">
        <v>151</v>
      </c>
      <c r="C11" s="4" t="s">
        <v>385</v>
      </c>
      <c r="D11" s="4"/>
      <c r="E11" s="4" t="s">
        <v>386</v>
      </c>
      <c r="F11" s="4" t="s">
        <v>387</v>
      </c>
      <c r="G11" s="4" t="s">
        <v>388</v>
      </c>
      <c r="H11" s="4" t="s">
        <v>389</v>
      </c>
      <c r="I11" s="4" t="s">
        <v>390</v>
      </c>
      <c r="J11" s="4" t="s">
        <v>72</v>
      </c>
      <c r="K11" s="4" t="s">
        <v>72</v>
      </c>
      <c r="L11" s="4" t="s">
        <v>391</v>
      </c>
      <c r="M11" s="5">
        <v>400</v>
      </c>
      <c r="N11" s="4" t="s">
        <v>392</v>
      </c>
    </row>
    <row r="12" spans="1:14" ht="26.25" x14ac:dyDescent="0.45">
      <c r="A12" s="2">
        <v>11</v>
      </c>
      <c r="B12" s="2" t="s">
        <v>161</v>
      </c>
      <c r="C12" s="2" t="s">
        <v>252</v>
      </c>
      <c r="D12" s="2" t="s">
        <v>163</v>
      </c>
      <c r="E12" s="2" t="s">
        <v>253</v>
      </c>
      <c r="F12" s="2" t="s">
        <v>254</v>
      </c>
      <c r="G12" s="2" t="s">
        <v>166</v>
      </c>
      <c r="H12" s="2" t="s">
        <v>255</v>
      </c>
      <c r="I12" s="2" t="s">
        <v>256</v>
      </c>
      <c r="J12" s="2" t="s">
        <v>257</v>
      </c>
      <c r="K12" s="2" t="s">
        <v>72</v>
      </c>
      <c r="L12" s="2" t="s">
        <v>73</v>
      </c>
      <c r="M12" s="3">
        <v>170</v>
      </c>
      <c r="N12" s="2" t="s">
        <v>258</v>
      </c>
    </row>
    <row r="13" spans="1:14" x14ac:dyDescent="0.4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</row>
    <row r="17" spans="3:4" x14ac:dyDescent="0.45">
      <c r="C17" t="s">
        <v>1041</v>
      </c>
      <c r="D17" t="s">
        <v>1038</v>
      </c>
    </row>
    <row r="18" spans="3:4" x14ac:dyDescent="0.45">
      <c r="C18" t="s">
        <v>1039</v>
      </c>
    </row>
    <row r="19" spans="3:4" x14ac:dyDescent="0.45">
      <c r="C19" s="8" t="s">
        <v>353</v>
      </c>
      <c r="D19" s="4" t="s">
        <v>173</v>
      </c>
    </row>
    <row r="20" spans="3:4" x14ac:dyDescent="0.45">
      <c r="C20" t="s">
        <v>1037</v>
      </c>
    </row>
    <row r="21" spans="3:4" x14ac:dyDescent="0.45">
      <c r="C21" s="8" t="s">
        <v>1034</v>
      </c>
      <c r="D21" s="4" t="s">
        <v>216</v>
      </c>
    </row>
    <row r="22" spans="3:4" x14ac:dyDescent="0.45">
      <c r="C22" s="8" t="s">
        <v>224</v>
      </c>
      <c r="D22" s="2" t="s">
        <v>216</v>
      </c>
    </row>
    <row r="23" spans="3:4" x14ac:dyDescent="0.45">
      <c r="C23" s="8" t="s">
        <v>235</v>
      </c>
      <c r="D23" s="8" t="s">
        <v>1036</v>
      </c>
    </row>
    <row r="24" spans="3:4" x14ac:dyDescent="0.45">
      <c r="C24" s="11" t="s">
        <v>1042</v>
      </c>
    </row>
    <row r="25" spans="3:4" x14ac:dyDescent="0.45">
      <c r="C25" s="11" t="s">
        <v>1040</v>
      </c>
    </row>
  </sheetData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5" customWidth="1"/>
    <col min="2" max="2" width="11" customWidth="1"/>
    <col min="3" max="3" width="26" customWidth="1"/>
    <col min="4" max="4" width="18" customWidth="1"/>
    <col min="5" max="5" width="40" customWidth="1"/>
    <col min="6" max="6" width="38" customWidth="1"/>
    <col min="7" max="7" width="34" customWidth="1"/>
    <col min="8" max="8" width="26" customWidth="1"/>
    <col min="9" max="9" width="16" customWidth="1"/>
    <col min="10" max="10" width="14" customWidth="1"/>
    <col min="11" max="11" width="20" customWidth="1"/>
    <col min="12" max="12" width="36" customWidth="1"/>
    <col min="13" max="13" width="16" customWidth="1"/>
    <col min="14" max="14" width="44" customWidth="1"/>
  </cols>
  <sheetData>
    <row r="1" spans="1:14" ht="36" customHeight="1" x14ac:dyDescent="0.4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</row>
    <row r="2" spans="1:14" x14ac:dyDescent="0.45">
      <c r="A2" s="2">
        <v>1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67</v>
      </c>
      <c r="H2" s="2" t="s">
        <v>70</v>
      </c>
      <c r="I2" s="2" t="s">
        <v>54</v>
      </c>
      <c r="J2" s="2" t="s">
        <v>71</v>
      </c>
      <c r="K2" s="2" t="s">
        <v>72</v>
      </c>
      <c r="L2" s="2" t="s">
        <v>73</v>
      </c>
      <c r="M2" s="3">
        <v>0</v>
      </c>
      <c r="N2" s="2" t="s">
        <v>74</v>
      </c>
    </row>
    <row r="3" spans="1:14" ht="26.25" x14ac:dyDescent="0.45">
      <c r="A3" s="4">
        <v>2</v>
      </c>
      <c r="B3" s="4" t="s">
        <v>75</v>
      </c>
      <c r="C3" s="4" t="s">
        <v>393</v>
      </c>
      <c r="D3" s="4" t="s">
        <v>394</v>
      </c>
      <c r="E3" s="4" t="s">
        <v>395</v>
      </c>
      <c r="F3" s="4" t="s">
        <v>396</v>
      </c>
      <c r="G3" s="4" t="s">
        <v>397</v>
      </c>
      <c r="H3" s="4" t="s">
        <v>398</v>
      </c>
      <c r="I3" s="4" t="s">
        <v>399</v>
      </c>
      <c r="J3" s="4" t="s">
        <v>400</v>
      </c>
      <c r="K3" s="4" t="s">
        <v>72</v>
      </c>
      <c r="L3" s="4" t="s">
        <v>401</v>
      </c>
      <c r="M3" s="5">
        <v>360</v>
      </c>
      <c r="N3" s="4" t="s">
        <v>402</v>
      </c>
    </row>
    <row r="4" spans="1:14" ht="26.25" x14ac:dyDescent="0.45">
      <c r="A4" s="2">
        <v>3</v>
      </c>
      <c r="B4" s="2" t="s">
        <v>84</v>
      </c>
      <c r="C4" s="2" t="s">
        <v>394</v>
      </c>
      <c r="D4" s="2" t="s">
        <v>394</v>
      </c>
      <c r="E4" s="2" t="s">
        <v>403</v>
      </c>
      <c r="F4" s="2" t="s">
        <v>404</v>
      </c>
      <c r="G4" s="2" t="s">
        <v>405</v>
      </c>
      <c r="H4" s="2" t="s">
        <v>406</v>
      </c>
      <c r="I4" s="2" t="s">
        <v>89</v>
      </c>
      <c r="J4" s="2" t="s">
        <v>72</v>
      </c>
      <c r="K4" s="2" t="s">
        <v>72</v>
      </c>
      <c r="L4" s="2" t="s">
        <v>407</v>
      </c>
      <c r="M4" s="3">
        <v>300</v>
      </c>
      <c r="N4" s="2" t="s">
        <v>408</v>
      </c>
    </row>
    <row r="5" spans="1:14" ht="26.25" x14ac:dyDescent="0.45">
      <c r="A5" s="4">
        <v>4</v>
      </c>
      <c r="B5" s="4" t="s">
        <v>94</v>
      </c>
      <c r="C5" s="4" t="s">
        <v>409</v>
      </c>
      <c r="D5" s="4" t="s">
        <v>394</v>
      </c>
      <c r="E5" s="4" t="s">
        <v>410</v>
      </c>
      <c r="F5" s="4" t="s">
        <v>411</v>
      </c>
      <c r="G5" s="4" t="s">
        <v>412</v>
      </c>
      <c r="H5" s="4" t="s">
        <v>413</v>
      </c>
      <c r="I5" s="4" t="s">
        <v>414</v>
      </c>
      <c r="J5" s="4" t="s">
        <v>415</v>
      </c>
      <c r="K5" s="4" t="s">
        <v>416</v>
      </c>
      <c r="L5" s="4" t="s">
        <v>417</v>
      </c>
      <c r="M5" s="5">
        <v>480</v>
      </c>
      <c r="N5" s="4" t="s">
        <v>418</v>
      </c>
    </row>
    <row r="6" spans="1:14" ht="26.25" x14ac:dyDescent="0.45">
      <c r="A6" s="2">
        <v>5</v>
      </c>
      <c r="B6" s="2" t="s">
        <v>105</v>
      </c>
      <c r="C6" s="2" t="s">
        <v>419</v>
      </c>
      <c r="D6" s="2" t="s">
        <v>394</v>
      </c>
      <c r="E6" s="2" t="s">
        <v>420</v>
      </c>
      <c r="F6" s="2" t="s">
        <v>421</v>
      </c>
      <c r="G6" s="2" t="s">
        <v>422</v>
      </c>
      <c r="H6" s="2" t="s">
        <v>423</v>
      </c>
      <c r="I6" s="2" t="s">
        <v>424</v>
      </c>
      <c r="J6" s="2" t="s">
        <v>72</v>
      </c>
      <c r="K6" s="2" t="s">
        <v>72</v>
      </c>
      <c r="L6" s="2" t="s">
        <v>425</v>
      </c>
      <c r="M6" s="3">
        <v>280</v>
      </c>
      <c r="N6" s="2" t="s">
        <v>426</v>
      </c>
    </row>
    <row r="7" spans="1:14" ht="26.25" x14ac:dyDescent="0.45">
      <c r="A7" s="4">
        <v>6</v>
      </c>
      <c r="B7" s="4" t="s">
        <v>114</v>
      </c>
      <c r="C7" s="4" t="s">
        <v>427</v>
      </c>
      <c r="D7" s="4" t="s">
        <v>394</v>
      </c>
      <c r="E7" s="4" t="s">
        <v>428</v>
      </c>
      <c r="F7" s="4" t="s">
        <v>429</v>
      </c>
      <c r="G7" s="4" t="s">
        <v>430</v>
      </c>
      <c r="H7" s="4" t="s">
        <v>431</v>
      </c>
      <c r="I7" s="4" t="s">
        <v>432</v>
      </c>
      <c r="J7" s="4" t="s">
        <v>72</v>
      </c>
      <c r="K7" s="4" t="s">
        <v>433</v>
      </c>
      <c r="L7" s="4" t="s">
        <v>434</v>
      </c>
      <c r="M7" s="5">
        <v>380</v>
      </c>
      <c r="N7" s="4" t="s">
        <v>435</v>
      </c>
    </row>
    <row r="8" spans="1:14" ht="26.25" x14ac:dyDescent="0.45">
      <c r="A8" s="2">
        <v>7</v>
      </c>
      <c r="B8" s="2" t="s">
        <v>123</v>
      </c>
      <c r="C8" s="2" t="s">
        <v>436</v>
      </c>
      <c r="D8" s="2" t="s">
        <v>437</v>
      </c>
      <c r="E8" s="2" t="s">
        <v>438</v>
      </c>
      <c r="F8" s="2" t="s">
        <v>439</v>
      </c>
      <c r="G8" s="2" t="s">
        <v>440</v>
      </c>
      <c r="H8" s="2" t="s">
        <v>441</v>
      </c>
      <c r="I8" s="2" t="s">
        <v>442</v>
      </c>
      <c r="J8" s="2" t="s">
        <v>72</v>
      </c>
      <c r="K8" s="2" t="s">
        <v>72</v>
      </c>
      <c r="L8" s="2" t="s">
        <v>443</v>
      </c>
      <c r="M8" s="3">
        <v>400</v>
      </c>
      <c r="N8" s="2" t="s">
        <v>444</v>
      </c>
    </row>
    <row r="9" spans="1:14" ht="26.25" x14ac:dyDescent="0.45">
      <c r="A9" s="4">
        <v>8</v>
      </c>
      <c r="B9" s="4" t="s">
        <v>134</v>
      </c>
      <c r="C9" s="4" t="s">
        <v>445</v>
      </c>
      <c r="D9" s="4" t="s">
        <v>437</v>
      </c>
      <c r="E9" s="4" t="s">
        <v>446</v>
      </c>
      <c r="F9" s="4" t="s">
        <v>447</v>
      </c>
      <c r="G9" s="4" t="s">
        <v>448</v>
      </c>
      <c r="H9" s="4" t="s">
        <v>449</v>
      </c>
      <c r="I9" s="4" t="s">
        <v>450</v>
      </c>
      <c r="J9" s="4" t="s">
        <v>451</v>
      </c>
      <c r="K9" s="4" t="s">
        <v>91</v>
      </c>
      <c r="L9" s="4" t="s">
        <v>452</v>
      </c>
      <c r="M9" s="5">
        <v>490</v>
      </c>
      <c r="N9" s="4" t="s">
        <v>453</v>
      </c>
    </row>
    <row r="10" spans="1:14" ht="26.25" x14ac:dyDescent="0.45">
      <c r="A10" s="2">
        <v>9</v>
      </c>
      <c r="B10" s="2" t="s">
        <v>142</v>
      </c>
      <c r="C10" s="2" t="s">
        <v>454</v>
      </c>
      <c r="D10" s="2" t="s">
        <v>437</v>
      </c>
      <c r="E10" s="2" t="s">
        <v>455</v>
      </c>
      <c r="F10" s="2" t="s">
        <v>456</v>
      </c>
      <c r="G10" s="2" t="s">
        <v>457</v>
      </c>
      <c r="H10" s="2" t="s">
        <v>458</v>
      </c>
      <c r="I10" s="2" t="s">
        <v>459</v>
      </c>
      <c r="J10" s="2" t="s">
        <v>460</v>
      </c>
      <c r="K10" s="2" t="s">
        <v>148</v>
      </c>
      <c r="L10" s="2" t="s">
        <v>461</v>
      </c>
      <c r="M10" s="3">
        <v>420</v>
      </c>
      <c r="N10" s="2" t="s">
        <v>462</v>
      </c>
    </row>
    <row r="11" spans="1:14" ht="26.25" x14ac:dyDescent="0.45">
      <c r="A11" s="4">
        <v>10</v>
      </c>
      <c r="B11" s="4" t="s">
        <v>151</v>
      </c>
      <c r="C11" s="4" t="s">
        <v>463</v>
      </c>
      <c r="D11" s="4" t="s">
        <v>76</v>
      </c>
      <c r="E11" s="4" t="s">
        <v>464</v>
      </c>
      <c r="F11" s="4" t="s">
        <v>465</v>
      </c>
      <c r="G11" s="4" t="s">
        <v>466</v>
      </c>
      <c r="H11" s="4" t="s">
        <v>467</v>
      </c>
      <c r="I11" s="4" t="s">
        <v>468</v>
      </c>
      <c r="J11" s="4" t="s">
        <v>469</v>
      </c>
      <c r="K11" s="4" t="s">
        <v>72</v>
      </c>
      <c r="L11" s="4" t="s">
        <v>470</v>
      </c>
      <c r="M11" s="5">
        <v>480</v>
      </c>
      <c r="N11" s="4" t="s">
        <v>471</v>
      </c>
    </row>
    <row r="12" spans="1:14" ht="26.25" x14ac:dyDescent="0.45">
      <c r="A12" s="2">
        <v>11</v>
      </c>
      <c r="B12" s="2" t="s">
        <v>161</v>
      </c>
      <c r="C12" s="2" t="s">
        <v>162</v>
      </c>
      <c r="D12" s="2" t="s">
        <v>163</v>
      </c>
      <c r="E12" s="2" t="s">
        <v>472</v>
      </c>
      <c r="F12" s="2" t="s">
        <v>473</v>
      </c>
      <c r="G12" s="2" t="s">
        <v>166</v>
      </c>
      <c r="H12" s="2" t="s">
        <v>474</v>
      </c>
      <c r="I12" s="2" t="s">
        <v>168</v>
      </c>
      <c r="J12" s="2" t="s">
        <v>475</v>
      </c>
      <c r="K12" s="2" t="s">
        <v>72</v>
      </c>
      <c r="L12" s="2" t="s">
        <v>476</v>
      </c>
      <c r="M12" s="3">
        <v>170</v>
      </c>
      <c r="N12" s="2" t="s">
        <v>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44" customWidth="1"/>
    <col min="3" max="3" width="22" customWidth="1"/>
    <col min="4" max="4" width="10" customWidth="1"/>
    <col min="5" max="7" width="12" customWidth="1"/>
    <col min="8" max="8" width="14" customWidth="1"/>
    <col min="9" max="9" width="50" customWidth="1"/>
    <col min="10" max="10" width="12" customWidth="1"/>
  </cols>
  <sheetData>
    <row r="1" spans="1:10" ht="36" customHeight="1" x14ac:dyDescent="0.4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 spans="1:10" ht="26.25" x14ac:dyDescent="0.45">
      <c r="A2" s="2" t="s">
        <v>488</v>
      </c>
      <c r="B2" s="2" t="s">
        <v>489</v>
      </c>
      <c r="C2" s="2" t="s">
        <v>490</v>
      </c>
      <c r="D2" s="2" t="s">
        <v>491</v>
      </c>
      <c r="E2" s="3">
        <v>4000</v>
      </c>
      <c r="F2" s="3">
        <v>5200</v>
      </c>
      <c r="G2" s="3">
        <v>6400</v>
      </c>
      <c r="H2" s="2" t="s">
        <v>17</v>
      </c>
      <c r="I2" s="2" t="s">
        <v>492</v>
      </c>
      <c r="J2" s="2" t="s">
        <v>493</v>
      </c>
    </row>
    <row r="3" spans="1:10" x14ac:dyDescent="0.45">
      <c r="A3" s="4" t="s">
        <v>494</v>
      </c>
      <c r="B3" s="4" t="s">
        <v>495</v>
      </c>
      <c r="C3" s="4" t="s">
        <v>496</v>
      </c>
      <c r="D3" s="4" t="s">
        <v>491</v>
      </c>
      <c r="E3" s="5">
        <v>200</v>
      </c>
      <c r="F3" s="5">
        <v>360</v>
      </c>
      <c r="G3" s="5">
        <v>560</v>
      </c>
      <c r="H3" s="4" t="s">
        <v>42</v>
      </c>
      <c r="I3" s="4" t="s">
        <v>497</v>
      </c>
      <c r="J3" s="4" t="s">
        <v>493</v>
      </c>
    </row>
    <row r="4" spans="1:10" x14ac:dyDescent="0.45">
      <c r="A4" s="2" t="s">
        <v>498</v>
      </c>
      <c r="B4" s="2" t="s">
        <v>499</v>
      </c>
      <c r="C4" s="2" t="s">
        <v>500</v>
      </c>
      <c r="D4" s="2" t="s">
        <v>501</v>
      </c>
      <c r="E4" s="3">
        <v>400</v>
      </c>
      <c r="F4" s="3">
        <v>480</v>
      </c>
      <c r="G4" s="3">
        <v>700</v>
      </c>
      <c r="H4" s="2" t="s">
        <v>17</v>
      </c>
      <c r="I4" s="2" t="s">
        <v>502</v>
      </c>
      <c r="J4" s="2" t="s">
        <v>503</v>
      </c>
    </row>
    <row r="5" spans="1:10" x14ac:dyDescent="0.45">
      <c r="A5" s="4" t="s">
        <v>498</v>
      </c>
      <c r="B5" s="4" t="s">
        <v>504</v>
      </c>
      <c r="C5" s="4" t="s">
        <v>505</v>
      </c>
      <c r="D5" s="4" t="s">
        <v>506</v>
      </c>
      <c r="E5" s="5">
        <v>450</v>
      </c>
      <c r="F5" s="5">
        <v>750</v>
      </c>
      <c r="G5" s="5">
        <v>1125</v>
      </c>
      <c r="H5" s="4" t="s">
        <v>17</v>
      </c>
      <c r="I5" s="4" t="s">
        <v>507</v>
      </c>
      <c r="J5" s="4" t="s">
        <v>503</v>
      </c>
    </row>
    <row r="6" spans="1:10" ht="26.25" x14ac:dyDescent="0.45">
      <c r="A6" s="2" t="s">
        <v>498</v>
      </c>
      <c r="B6" s="2" t="s">
        <v>508</v>
      </c>
      <c r="C6" s="2" t="s">
        <v>509</v>
      </c>
      <c r="D6" s="2" t="s">
        <v>506</v>
      </c>
      <c r="E6" s="3">
        <v>900</v>
      </c>
      <c r="F6" s="3">
        <v>1500</v>
      </c>
      <c r="G6" s="3">
        <v>2400</v>
      </c>
      <c r="H6" s="2" t="s">
        <v>17</v>
      </c>
      <c r="I6" s="2" t="s">
        <v>510</v>
      </c>
      <c r="J6" s="2" t="s">
        <v>503</v>
      </c>
    </row>
    <row r="7" spans="1:10" x14ac:dyDescent="0.45">
      <c r="A7" s="4" t="s">
        <v>498</v>
      </c>
      <c r="B7" s="4" t="s">
        <v>511</v>
      </c>
      <c r="C7" s="4" t="s">
        <v>512</v>
      </c>
      <c r="D7" s="4" t="s">
        <v>513</v>
      </c>
      <c r="E7" s="5">
        <v>180</v>
      </c>
      <c r="F7" s="5">
        <v>200</v>
      </c>
      <c r="G7" s="5">
        <v>280</v>
      </c>
      <c r="H7" s="4" t="s">
        <v>17</v>
      </c>
      <c r="I7" s="4" t="s">
        <v>514</v>
      </c>
      <c r="J7" s="4" t="s">
        <v>503</v>
      </c>
    </row>
    <row r="8" spans="1:10" x14ac:dyDescent="0.45">
      <c r="A8" s="2" t="s">
        <v>515</v>
      </c>
      <c r="B8" s="2" t="s">
        <v>516</v>
      </c>
      <c r="C8" s="2" t="s">
        <v>517</v>
      </c>
      <c r="D8" s="2" t="s">
        <v>491</v>
      </c>
      <c r="E8" s="3">
        <v>220</v>
      </c>
      <c r="F8" s="3">
        <v>300</v>
      </c>
      <c r="G8" s="3">
        <v>400</v>
      </c>
      <c r="H8" s="2" t="s">
        <v>18</v>
      </c>
      <c r="I8" s="2" t="s">
        <v>518</v>
      </c>
      <c r="J8" s="2" t="s">
        <v>519</v>
      </c>
    </row>
    <row r="9" spans="1:10" x14ac:dyDescent="0.45">
      <c r="A9" s="4" t="s">
        <v>515</v>
      </c>
      <c r="B9" s="4" t="s">
        <v>520</v>
      </c>
      <c r="C9" s="4" t="s">
        <v>521</v>
      </c>
      <c r="D9" s="4" t="s">
        <v>491</v>
      </c>
      <c r="E9" s="5">
        <v>180</v>
      </c>
      <c r="F9" s="5">
        <v>260</v>
      </c>
      <c r="G9" s="5">
        <v>360</v>
      </c>
      <c r="H9" s="4" t="s">
        <v>18</v>
      </c>
      <c r="I9" s="4" t="s">
        <v>522</v>
      </c>
      <c r="J9" s="4" t="s">
        <v>519</v>
      </c>
    </row>
    <row r="10" spans="1:10" x14ac:dyDescent="0.45">
      <c r="A10" s="2" t="s">
        <v>523</v>
      </c>
      <c r="B10" s="2" t="s">
        <v>524</v>
      </c>
      <c r="C10" s="2" t="s">
        <v>525</v>
      </c>
      <c r="D10" s="2" t="s">
        <v>491</v>
      </c>
      <c r="E10" s="3">
        <v>0</v>
      </c>
      <c r="F10" s="3">
        <v>480</v>
      </c>
      <c r="G10" s="3">
        <v>560</v>
      </c>
      <c r="H10" s="2" t="s">
        <v>17</v>
      </c>
      <c r="I10" s="2" t="s">
        <v>526</v>
      </c>
      <c r="J10" s="2" t="s">
        <v>527</v>
      </c>
    </row>
    <row r="11" spans="1:10" x14ac:dyDescent="0.45">
      <c r="A11" s="4" t="s">
        <v>528</v>
      </c>
      <c r="B11" s="4" t="s">
        <v>529</v>
      </c>
      <c r="C11" s="4" t="s">
        <v>530</v>
      </c>
      <c r="D11" s="4" t="s">
        <v>491</v>
      </c>
      <c r="E11" s="5">
        <v>40</v>
      </c>
      <c r="F11" s="5">
        <v>72</v>
      </c>
      <c r="G11" s="5">
        <v>72</v>
      </c>
      <c r="H11" s="4" t="s">
        <v>21</v>
      </c>
      <c r="I11" s="4" t="s">
        <v>531</v>
      </c>
      <c r="J11" s="4" t="s">
        <v>532</v>
      </c>
    </row>
    <row r="12" spans="1:10" x14ac:dyDescent="0.45">
      <c r="A12" s="2" t="s">
        <v>528</v>
      </c>
      <c r="B12" s="2" t="s">
        <v>533</v>
      </c>
      <c r="C12" s="2" t="s">
        <v>534</v>
      </c>
      <c r="D12" s="2" t="s">
        <v>535</v>
      </c>
      <c r="E12" s="3">
        <v>200</v>
      </c>
      <c r="F12" s="3">
        <v>350</v>
      </c>
      <c r="G12" s="3">
        <v>500</v>
      </c>
      <c r="H12" s="2" t="s">
        <v>42</v>
      </c>
      <c r="I12" s="2" t="s">
        <v>536</v>
      </c>
      <c r="J12" s="2" t="s">
        <v>532</v>
      </c>
    </row>
    <row r="13" spans="1:10" x14ac:dyDescent="0.45">
      <c r="A13" s="4" t="s">
        <v>537</v>
      </c>
      <c r="B13" s="4" t="s">
        <v>538</v>
      </c>
      <c r="C13" s="4" t="s">
        <v>539</v>
      </c>
      <c r="D13" s="4" t="s">
        <v>491</v>
      </c>
      <c r="E13" s="5">
        <v>120</v>
      </c>
      <c r="F13" s="5">
        <v>170</v>
      </c>
      <c r="G13" s="5">
        <v>170</v>
      </c>
      <c r="H13" s="4" t="s">
        <v>21</v>
      </c>
      <c r="I13" s="4" t="s">
        <v>540</v>
      </c>
      <c r="J13" s="4" t="s">
        <v>541</v>
      </c>
    </row>
    <row r="14" spans="1:10" x14ac:dyDescent="0.45">
      <c r="A14" s="2" t="s">
        <v>537</v>
      </c>
      <c r="B14" s="2" t="s">
        <v>542</v>
      </c>
      <c r="C14" s="2" t="s">
        <v>543</v>
      </c>
      <c r="D14" s="2" t="s">
        <v>491</v>
      </c>
      <c r="E14" s="3">
        <v>60</v>
      </c>
      <c r="F14" s="3">
        <v>71</v>
      </c>
      <c r="G14" s="3">
        <v>71</v>
      </c>
      <c r="H14" s="2" t="s">
        <v>21</v>
      </c>
      <c r="I14" s="2" t="s">
        <v>544</v>
      </c>
      <c r="J14" s="2" t="s">
        <v>541</v>
      </c>
    </row>
    <row r="15" spans="1:10" x14ac:dyDescent="0.45">
      <c r="A15" s="4" t="s">
        <v>537</v>
      </c>
      <c r="B15" s="4" t="s">
        <v>545</v>
      </c>
      <c r="C15" s="4" t="s">
        <v>546</v>
      </c>
      <c r="D15" s="4" t="s">
        <v>491</v>
      </c>
      <c r="E15" s="5">
        <v>0</v>
      </c>
      <c r="F15" s="5">
        <v>47</v>
      </c>
      <c r="G15" s="5">
        <v>47</v>
      </c>
      <c r="H15" s="4" t="s">
        <v>21</v>
      </c>
      <c r="I15" s="4" t="s">
        <v>547</v>
      </c>
      <c r="J15" s="4" t="s">
        <v>541</v>
      </c>
    </row>
    <row r="16" spans="1:10" x14ac:dyDescent="0.45">
      <c r="A16" s="2" t="s">
        <v>537</v>
      </c>
      <c r="B16" s="2" t="s">
        <v>548</v>
      </c>
      <c r="C16" s="2" t="s">
        <v>549</v>
      </c>
      <c r="D16" s="2" t="s">
        <v>491</v>
      </c>
      <c r="E16" s="3">
        <v>200</v>
      </c>
      <c r="F16" s="3">
        <v>280</v>
      </c>
      <c r="G16" s="3">
        <v>400</v>
      </c>
      <c r="H16" s="2" t="s">
        <v>17</v>
      </c>
      <c r="I16" s="2" t="s">
        <v>550</v>
      </c>
      <c r="J16" s="2" t="s">
        <v>541</v>
      </c>
    </row>
    <row r="17" spans="1:10" ht="26.25" x14ac:dyDescent="0.45">
      <c r="A17" s="4" t="s">
        <v>537</v>
      </c>
      <c r="B17" s="4" t="s">
        <v>551</v>
      </c>
      <c r="C17" s="4" t="s">
        <v>552</v>
      </c>
      <c r="D17" s="4" t="s">
        <v>491</v>
      </c>
      <c r="E17" s="5">
        <v>320</v>
      </c>
      <c r="F17" s="5">
        <v>440</v>
      </c>
      <c r="G17" s="5">
        <v>590</v>
      </c>
      <c r="H17" s="4" t="s">
        <v>17</v>
      </c>
      <c r="I17" s="4" t="s">
        <v>553</v>
      </c>
      <c r="J17" s="4" t="s">
        <v>541</v>
      </c>
    </row>
    <row r="18" spans="1:10" x14ac:dyDescent="0.45">
      <c r="A18" s="2" t="s">
        <v>537</v>
      </c>
      <c r="B18" s="2" t="s">
        <v>554</v>
      </c>
      <c r="C18" s="2" t="s">
        <v>543</v>
      </c>
      <c r="D18" s="2" t="s">
        <v>491</v>
      </c>
      <c r="E18" s="3">
        <v>30</v>
      </c>
      <c r="F18" s="3">
        <v>71</v>
      </c>
      <c r="G18" s="3">
        <v>71</v>
      </c>
      <c r="H18" s="2" t="s">
        <v>21</v>
      </c>
      <c r="I18" s="2" t="s">
        <v>547</v>
      </c>
      <c r="J18" s="2" t="s">
        <v>541</v>
      </c>
    </row>
    <row r="19" spans="1:10" x14ac:dyDescent="0.45">
      <c r="A19" s="4" t="s">
        <v>537</v>
      </c>
      <c r="B19" s="4" t="s">
        <v>555</v>
      </c>
      <c r="C19" s="4" t="s">
        <v>556</v>
      </c>
      <c r="D19" s="4" t="s">
        <v>491</v>
      </c>
      <c r="E19" s="5">
        <v>0</v>
      </c>
      <c r="F19" s="5">
        <v>220</v>
      </c>
      <c r="G19" s="5">
        <v>280</v>
      </c>
      <c r="H19" s="4" t="s">
        <v>42</v>
      </c>
      <c r="I19" s="4" t="s">
        <v>557</v>
      </c>
      <c r="J19" s="4" t="s">
        <v>541</v>
      </c>
    </row>
    <row r="20" spans="1:10" x14ac:dyDescent="0.45">
      <c r="A20" s="2" t="s">
        <v>537</v>
      </c>
      <c r="B20" s="2" t="s">
        <v>558</v>
      </c>
      <c r="C20" s="2" t="s">
        <v>534</v>
      </c>
      <c r="D20" s="2" t="s">
        <v>535</v>
      </c>
      <c r="E20" s="3">
        <v>0</v>
      </c>
      <c r="F20" s="3">
        <v>60</v>
      </c>
      <c r="G20" s="3">
        <v>120</v>
      </c>
      <c r="H20" s="2" t="s">
        <v>42</v>
      </c>
      <c r="I20" s="2" t="s">
        <v>534</v>
      </c>
      <c r="J20" s="2" t="s">
        <v>535</v>
      </c>
    </row>
    <row r="21" spans="1:10" ht="26.25" x14ac:dyDescent="0.45">
      <c r="A21" s="4" t="s">
        <v>559</v>
      </c>
      <c r="B21" s="4" t="s">
        <v>560</v>
      </c>
      <c r="C21" s="4" t="s">
        <v>561</v>
      </c>
      <c r="D21" s="4" t="s">
        <v>562</v>
      </c>
      <c r="E21" s="5">
        <v>1800</v>
      </c>
      <c r="F21" s="5">
        <v>2880</v>
      </c>
      <c r="G21" s="5">
        <v>4320</v>
      </c>
      <c r="H21" s="4" t="s">
        <v>17</v>
      </c>
      <c r="I21" s="4" t="s">
        <v>563</v>
      </c>
      <c r="J21" s="4" t="s">
        <v>564</v>
      </c>
    </row>
    <row r="22" spans="1:10" x14ac:dyDescent="0.45">
      <c r="A22" s="2" t="s">
        <v>565</v>
      </c>
      <c r="B22" s="2" t="s">
        <v>566</v>
      </c>
      <c r="C22" s="2" t="s">
        <v>567</v>
      </c>
      <c r="D22" s="2" t="s">
        <v>491</v>
      </c>
      <c r="E22" s="3">
        <v>200</v>
      </c>
      <c r="F22" s="3">
        <v>320</v>
      </c>
      <c r="G22" s="3">
        <v>500</v>
      </c>
      <c r="H22" s="2" t="s">
        <v>17</v>
      </c>
      <c r="I22" s="2" t="s">
        <v>568</v>
      </c>
      <c r="J22" s="2" t="s">
        <v>535</v>
      </c>
    </row>
    <row r="23" spans="1:10" x14ac:dyDescent="0.45">
      <c r="A23" s="6" t="s">
        <v>569</v>
      </c>
      <c r="B23" s="6"/>
      <c r="C23" s="6"/>
      <c r="D23" s="6"/>
      <c r="E23" s="7">
        <f>SUM(E2:E22)</f>
        <v>9500</v>
      </c>
      <c r="F23" s="7">
        <f>SUM(F2:F22)</f>
        <v>14511</v>
      </c>
      <c r="G23" s="7">
        <f>SUM(G2:G22)</f>
        <v>19926</v>
      </c>
      <c r="H23" s="6"/>
      <c r="I23" s="6"/>
      <c r="J23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46" customWidth="1"/>
    <col min="3" max="3" width="24" customWidth="1"/>
    <col min="4" max="4" width="14" customWidth="1"/>
    <col min="5" max="7" width="12" customWidth="1"/>
    <col min="8" max="8" width="14" customWidth="1"/>
    <col min="9" max="9" width="52" customWidth="1"/>
    <col min="10" max="10" width="12" customWidth="1"/>
  </cols>
  <sheetData>
    <row r="1" spans="1:10" ht="36" customHeight="1" x14ac:dyDescent="0.4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 spans="1:10" ht="26.25" x14ac:dyDescent="0.45">
      <c r="A2" s="2" t="s">
        <v>488</v>
      </c>
      <c r="B2" s="2" t="s">
        <v>570</v>
      </c>
      <c r="C2" s="2" t="s">
        <v>571</v>
      </c>
      <c r="D2" s="2" t="s">
        <v>491</v>
      </c>
      <c r="E2" s="3">
        <v>3800</v>
      </c>
      <c r="F2" s="3">
        <v>4800</v>
      </c>
      <c r="G2" s="3">
        <v>6400</v>
      </c>
      <c r="H2" s="2" t="s">
        <v>18</v>
      </c>
      <c r="I2" s="2" t="s">
        <v>572</v>
      </c>
      <c r="J2" s="2" t="s">
        <v>573</v>
      </c>
    </row>
    <row r="3" spans="1:10" x14ac:dyDescent="0.45">
      <c r="A3" s="4" t="s">
        <v>494</v>
      </c>
      <c r="B3" s="4" t="s">
        <v>495</v>
      </c>
      <c r="C3" s="4" t="s">
        <v>496</v>
      </c>
      <c r="D3" s="4" t="s">
        <v>491</v>
      </c>
      <c r="E3" s="5">
        <v>200</v>
      </c>
      <c r="F3" s="5">
        <v>300</v>
      </c>
      <c r="G3" s="5">
        <v>450</v>
      </c>
      <c r="H3" s="4" t="s">
        <v>42</v>
      </c>
      <c r="I3" s="4" t="s">
        <v>574</v>
      </c>
      <c r="J3" s="4" t="s">
        <v>573</v>
      </c>
    </row>
    <row r="4" spans="1:10" x14ac:dyDescent="0.45">
      <c r="A4" s="2" t="s">
        <v>498</v>
      </c>
      <c r="B4" s="2" t="s">
        <v>575</v>
      </c>
      <c r="C4" s="2" t="s">
        <v>576</v>
      </c>
      <c r="D4" s="2" t="s">
        <v>501</v>
      </c>
      <c r="E4" s="3">
        <v>400</v>
      </c>
      <c r="F4" s="3">
        <v>600</v>
      </c>
      <c r="G4" s="3">
        <v>900</v>
      </c>
      <c r="H4" s="2" t="s">
        <v>17</v>
      </c>
      <c r="I4" s="2" t="s">
        <v>577</v>
      </c>
      <c r="J4" s="2" t="s">
        <v>578</v>
      </c>
    </row>
    <row r="5" spans="1:10" x14ac:dyDescent="0.45">
      <c r="A5" s="4" t="s">
        <v>498</v>
      </c>
      <c r="B5" s="4" t="s">
        <v>579</v>
      </c>
      <c r="C5" s="4" t="s">
        <v>580</v>
      </c>
      <c r="D5" s="4" t="s">
        <v>506</v>
      </c>
      <c r="E5" s="5">
        <v>540</v>
      </c>
      <c r="F5" s="5">
        <v>810</v>
      </c>
      <c r="G5" s="5">
        <v>1200</v>
      </c>
      <c r="H5" s="4" t="s">
        <v>17</v>
      </c>
      <c r="I5" s="4" t="s">
        <v>581</v>
      </c>
      <c r="J5" s="4" t="s">
        <v>578</v>
      </c>
    </row>
    <row r="6" spans="1:10" x14ac:dyDescent="0.45">
      <c r="A6" s="2" t="s">
        <v>498</v>
      </c>
      <c r="B6" s="2" t="s">
        <v>582</v>
      </c>
      <c r="C6" s="2" t="s">
        <v>583</v>
      </c>
      <c r="D6" s="2" t="s">
        <v>501</v>
      </c>
      <c r="E6" s="3">
        <v>360</v>
      </c>
      <c r="F6" s="3">
        <v>560</v>
      </c>
      <c r="G6" s="3">
        <v>900</v>
      </c>
      <c r="H6" s="2" t="s">
        <v>17</v>
      </c>
      <c r="I6" s="2" t="s">
        <v>584</v>
      </c>
      <c r="J6" s="2" t="s">
        <v>578</v>
      </c>
    </row>
    <row r="7" spans="1:10" x14ac:dyDescent="0.45">
      <c r="A7" s="4" t="s">
        <v>498</v>
      </c>
      <c r="B7" s="4" t="s">
        <v>585</v>
      </c>
      <c r="C7" s="4" t="s">
        <v>586</v>
      </c>
      <c r="D7" s="4" t="s">
        <v>501</v>
      </c>
      <c r="E7" s="5">
        <v>500</v>
      </c>
      <c r="F7" s="5">
        <v>750</v>
      </c>
      <c r="G7" s="5">
        <v>1200</v>
      </c>
      <c r="H7" s="4" t="s">
        <v>17</v>
      </c>
      <c r="I7" s="4" t="s">
        <v>587</v>
      </c>
      <c r="J7" s="4" t="s">
        <v>578</v>
      </c>
    </row>
    <row r="8" spans="1:10" ht="26.25" x14ac:dyDescent="0.45">
      <c r="A8" s="2" t="s">
        <v>588</v>
      </c>
      <c r="B8" s="2" t="s">
        <v>589</v>
      </c>
      <c r="C8" s="2" t="s">
        <v>590</v>
      </c>
      <c r="D8" s="2" t="s">
        <v>591</v>
      </c>
      <c r="E8" s="3">
        <v>220</v>
      </c>
      <c r="F8" s="3">
        <v>231</v>
      </c>
      <c r="G8" s="3">
        <v>231</v>
      </c>
      <c r="H8" s="2" t="s">
        <v>21</v>
      </c>
      <c r="I8" s="2" t="s">
        <v>592</v>
      </c>
      <c r="J8" s="2" t="s">
        <v>593</v>
      </c>
    </row>
    <row r="9" spans="1:10" x14ac:dyDescent="0.45">
      <c r="A9" s="4" t="s">
        <v>588</v>
      </c>
      <c r="B9" s="4" t="s">
        <v>594</v>
      </c>
      <c r="C9" s="4" t="s">
        <v>595</v>
      </c>
      <c r="D9" s="4" t="s">
        <v>491</v>
      </c>
      <c r="E9" s="5">
        <v>100</v>
      </c>
      <c r="F9" s="5">
        <v>140</v>
      </c>
      <c r="G9" s="5">
        <v>200</v>
      </c>
      <c r="H9" s="4" t="s">
        <v>21</v>
      </c>
      <c r="I9" s="4" t="s">
        <v>596</v>
      </c>
      <c r="J9" s="4" t="s">
        <v>593</v>
      </c>
    </row>
    <row r="10" spans="1:10" x14ac:dyDescent="0.45">
      <c r="A10" s="2" t="s">
        <v>588</v>
      </c>
      <c r="B10" s="2" t="s">
        <v>597</v>
      </c>
      <c r="C10" s="2" t="s">
        <v>598</v>
      </c>
      <c r="D10" s="2" t="s">
        <v>599</v>
      </c>
      <c r="E10" s="3">
        <v>80</v>
      </c>
      <c r="F10" s="3">
        <v>140</v>
      </c>
      <c r="G10" s="3">
        <v>140</v>
      </c>
      <c r="H10" s="2" t="s">
        <v>21</v>
      </c>
      <c r="I10" s="2" t="s">
        <v>600</v>
      </c>
      <c r="J10" s="2" t="s">
        <v>593</v>
      </c>
    </row>
    <row r="11" spans="1:10" x14ac:dyDescent="0.45">
      <c r="A11" s="4" t="s">
        <v>601</v>
      </c>
      <c r="B11" s="4" t="s">
        <v>602</v>
      </c>
      <c r="C11" s="4" t="s">
        <v>603</v>
      </c>
      <c r="D11" s="4" t="s">
        <v>491</v>
      </c>
      <c r="E11" s="5">
        <v>35</v>
      </c>
      <c r="F11" s="5">
        <v>52</v>
      </c>
      <c r="G11" s="5">
        <v>52</v>
      </c>
      <c r="H11" s="4" t="s">
        <v>21</v>
      </c>
      <c r="I11" s="4" t="s">
        <v>604</v>
      </c>
      <c r="J11" s="4" t="s">
        <v>593</v>
      </c>
    </row>
    <row r="12" spans="1:10" x14ac:dyDescent="0.45">
      <c r="A12" s="2" t="s">
        <v>601</v>
      </c>
      <c r="B12" s="2" t="s">
        <v>605</v>
      </c>
      <c r="C12" s="2" t="s">
        <v>606</v>
      </c>
      <c r="D12" s="2" t="s">
        <v>607</v>
      </c>
      <c r="E12" s="3">
        <v>30</v>
      </c>
      <c r="F12" s="3">
        <v>38</v>
      </c>
      <c r="G12" s="3">
        <v>38</v>
      </c>
      <c r="H12" s="2" t="s">
        <v>21</v>
      </c>
      <c r="I12" s="2" t="s">
        <v>608</v>
      </c>
      <c r="J12" s="2" t="s">
        <v>593</v>
      </c>
    </row>
    <row r="13" spans="1:10" x14ac:dyDescent="0.45">
      <c r="A13" s="4" t="s">
        <v>537</v>
      </c>
      <c r="B13" s="4" t="s">
        <v>609</v>
      </c>
      <c r="C13" s="4" t="s">
        <v>610</v>
      </c>
      <c r="D13" s="4" t="s">
        <v>611</v>
      </c>
      <c r="E13" s="5">
        <v>30</v>
      </c>
      <c r="F13" s="5">
        <v>45</v>
      </c>
      <c r="G13" s="5">
        <v>45</v>
      </c>
      <c r="H13" s="4" t="s">
        <v>21</v>
      </c>
      <c r="I13" s="4" t="s">
        <v>612</v>
      </c>
      <c r="J13" s="4" t="s">
        <v>613</v>
      </c>
    </row>
    <row r="14" spans="1:10" x14ac:dyDescent="0.45">
      <c r="A14" s="2" t="s">
        <v>537</v>
      </c>
      <c r="B14" s="2" t="s">
        <v>614</v>
      </c>
      <c r="C14" s="2" t="s">
        <v>546</v>
      </c>
      <c r="D14" s="2" t="s">
        <v>501</v>
      </c>
      <c r="E14" s="3">
        <v>0</v>
      </c>
      <c r="F14" s="3">
        <v>24</v>
      </c>
      <c r="G14" s="3">
        <v>24</v>
      </c>
      <c r="H14" s="2" t="s">
        <v>21</v>
      </c>
      <c r="I14" s="2" t="s">
        <v>615</v>
      </c>
      <c r="J14" s="2" t="s">
        <v>613</v>
      </c>
    </row>
    <row r="15" spans="1:10" x14ac:dyDescent="0.45">
      <c r="A15" s="4" t="s">
        <v>537</v>
      </c>
      <c r="B15" s="4" t="s">
        <v>616</v>
      </c>
      <c r="C15" s="4" t="s">
        <v>617</v>
      </c>
      <c r="D15" s="4" t="s">
        <v>506</v>
      </c>
      <c r="E15" s="5">
        <v>0</v>
      </c>
      <c r="F15" s="5">
        <v>117</v>
      </c>
      <c r="G15" s="5">
        <v>117</v>
      </c>
      <c r="H15" s="4" t="s">
        <v>21</v>
      </c>
      <c r="I15" s="4" t="s">
        <v>618</v>
      </c>
      <c r="J15" s="4" t="s">
        <v>613</v>
      </c>
    </row>
    <row r="16" spans="1:10" x14ac:dyDescent="0.45">
      <c r="A16" s="2" t="s">
        <v>537</v>
      </c>
      <c r="B16" s="2" t="s">
        <v>619</v>
      </c>
      <c r="C16" s="2" t="s">
        <v>620</v>
      </c>
      <c r="D16" s="2" t="s">
        <v>513</v>
      </c>
      <c r="E16" s="3">
        <v>180</v>
      </c>
      <c r="F16" s="3">
        <v>195</v>
      </c>
      <c r="G16" s="3">
        <v>230</v>
      </c>
      <c r="H16" s="2" t="s">
        <v>17</v>
      </c>
      <c r="I16" s="2" t="s">
        <v>621</v>
      </c>
      <c r="J16" s="2" t="s">
        <v>613</v>
      </c>
    </row>
    <row r="17" spans="1:10" x14ac:dyDescent="0.45">
      <c r="A17" s="4" t="s">
        <v>537</v>
      </c>
      <c r="B17" s="4" t="s">
        <v>622</v>
      </c>
      <c r="C17" s="4" t="s">
        <v>623</v>
      </c>
      <c r="D17" s="4" t="s">
        <v>491</v>
      </c>
      <c r="E17" s="5">
        <v>30</v>
      </c>
      <c r="F17" s="5">
        <v>33</v>
      </c>
      <c r="G17" s="5">
        <v>33</v>
      </c>
      <c r="H17" s="4" t="s">
        <v>21</v>
      </c>
      <c r="I17" s="4" t="s">
        <v>624</v>
      </c>
      <c r="J17" s="4" t="s">
        <v>613</v>
      </c>
    </row>
    <row r="18" spans="1:10" x14ac:dyDescent="0.45">
      <c r="A18" s="2" t="s">
        <v>537</v>
      </c>
      <c r="B18" s="2" t="s">
        <v>625</v>
      </c>
      <c r="C18" s="2" t="s">
        <v>626</v>
      </c>
      <c r="D18" s="2" t="s">
        <v>491</v>
      </c>
      <c r="E18" s="3">
        <v>80</v>
      </c>
      <c r="F18" s="3">
        <v>92</v>
      </c>
      <c r="G18" s="3">
        <v>92</v>
      </c>
      <c r="H18" s="2" t="s">
        <v>21</v>
      </c>
      <c r="I18" s="2" t="s">
        <v>627</v>
      </c>
      <c r="J18" s="2" t="s">
        <v>613</v>
      </c>
    </row>
    <row r="19" spans="1:10" x14ac:dyDescent="0.45">
      <c r="A19" s="4" t="s">
        <v>537</v>
      </c>
      <c r="B19" s="4" t="s">
        <v>628</v>
      </c>
      <c r="C19" s="4" t="s">
        <v>629</v>
      </c>
      <c r="D19" s="4" t="s">
        <v>491</v>
      </c>
      <c r="E19" s="5">
        <v>110</v>
      </c>
      <c r="F19" s="5">
        <v>143</v>
      </c>
      <c r="G19" s="5">
        <v>143</v>
      </c>
      <c r="H19" s="4" t="s">
        <v>21</v>
      </c>
      <c r="I19" s="4" t="s">
        <v>630</v>
      </c>
      <c r="J19" s="4" t="s">
        <v>613</v>
      </c>
    </row>
    <row r="20" spans="1:10" x14ac:dyDescent="0.45">
      <c r="A20" s="2" t="s">
        <v>537</v>
      </c>
      <c r="B20" s="2" t="s">
        <v>631</v>
      </c>
      <c r="C20" s="2" t="s">
        <v>632</v>
      </c>
      <c r="D20" s="2" t="s">
        <v>491</v>
      </c>
      <c r="E20" s="3">
        <v>28</v>
      </c>
      <c r="F20" s="3">
        <v>28</v>
      </c>
      <c r="G20" s="3">
        <v>28</v>
      </c>
      <c r="H20" s="2" t="s">
        <v>21</v>
      </c>
      <c r="I20" s="2" t="s">
        <v>633</v>
      </c>
      <c r="J20" s="2" t="s">
        <v>613</v>
      </c>
    </row>
    <row r="21" spans="1:10" x14ac:dyDescent="0.45">
      <c r="A21" s="4" t="s">
        <v>537</v>
      </c>
      <c r="B21" s="4" t="s">
        <v>634</v>
      </c>
      <c r="C21" s="4" t="s">
        <v>635</v>
      </c>
      <c r="D21" s="4" t="s">
        <v>491</v>
      </c>
      <c r="E21" s="5">
        <v>45</v>
      </c>
      <c r="F21" s="5">
        <v>63</v>
      </c>
      <c r="G21" s="5">
        <v>63</v>
      </c>
      <c r="H21" s="4" t="s">
        <v>21</v>
      </c>
      <c r="I21" s="4" t="s">
        <v>636</v>
      </c>
      <c r="J21" s="4" t="s">
        <v>613</v>
      </c>
    </row>
    <row r="22" spans="1:10" x14ac:dyDescent="0.45">
      <c r="A22" s="2" t="s">
        <v>537</v>
      </c>
      <c r="B22" s="2" t="s">
        <v>637</v>
      </c>
      <c r="C22" s="2" t="s">
        <v>638</v>
      </c>
      <c r="D22" s="2" t="s">
        <v>491</v>
      </c>
      <c r="E22" s="3">
        <v>0</v>
      </c>
      <c r="F22" s="3">
        <v>64</v>
      </c>
      <c r="G22" s="3">
        <v>64</v>
      </c>
      <c r="H22" s="2" t="s">
        <v>21</v>
      </c>
      <c r="I22" s="2" t="s">
        <v>639</v>
      </c>
      <c r="J22" s="2" t="s">
        <v>613</v>
      </c>
    </row>
    <row r="23" spans="1:10" x14ac:dyDescent="0.45">
      <c r="A23" s="4" t="s">
        <v>537</v>
      </c>
      <c r="B23" s="4" t="s">
        <v>640</v>
      </c>
      <c r="C23" s="4" t="s">
        <v>641</v>
      </c>
      <c r="D23" s="4" t="s">
        <v>491</v>
      </c>
      <c r="E23" s="5">
        <v>0</v>
      </c>
      <c r="F23" s="5">
        <v>0</v>
      </c>
      <c r="G23" s="5">
        <v>300</v>
      </c>
      <c r="H23" s="4" t="s">
        <v>42</v>
      </c>
      <c r="I23" s="4" t="s">
        <v>642</v>
      </c>
      <c r="J23" s="4" t="s">
        <v>613</v>
      </c>
    </row>
    <row r="24" spans="1:10" x14ac:dyDescent="0.45">
      <c r="A24" s="2" t="s">
        <v>537</v>
      </c>
      <c r="B24" s="2" t="s">
        <v>643</v>
      </c>
      <c r="C24" s="2" t="s">
        <v>644</v>
      </c>
      <c r="D24" s="2" t="s">
        <v>491</v>
      </c>
      <c r="E24" s="3">
        <v>0</v>
      </c>
      <c r="F24" s="3">
        <v>0</v>
      </c>
      <c r="G24" s="3">
        <v>109</v>
      </c>
      <c r="H24" s="2" t="s">
        <v>17</v>
      </c>
      <c r="I24" s="2" t="s">
        <v>645</v>
      </c>
      <c r="J24" s="2" t="s">
        <v>613</v>
      </c>
    </row>
    <row r="25" spans="1:10" x14ac:dyDescent="0.45">
      <c r="A25" s="4" t="s">
        <v>537</v>
      </c>
      <c r="B25" s="4" t="s">
        <v>646</v>
      </c>
      <c r="C25" s="4" t="s">
        <v>534</v>
      </c>
      <c r="D25" s="4" t="s">
        <v>535</v>
      </c>
      <c r="E25" s="5">
        <v>50</v>
      </c>
      <c r="F25" s="5">
        <v>80</v>
      </c>
      <c r="G25" s="5">
        <v>120</v>
      </c>
      <c r="H25" s="4" t="s">
        <v>42</v>
      </c>
      <c r="I25" s="4" t="s">
        <v>534</v>
      </c>
      <c r="J25" s="4" t="s">
        <v>535</v>
      </c>
    </row>
    <row r="26" spans="1:10" x14ac:dyDescent="0.45">
      <c r="A26" s="2" t="s">
        <v>559</v>
      </c>
      <c r="B26" s="2" t="s">
        <v>560</v>
      </c>
      <c r="C26" s="2" t="s">
        <v>647</v>
      </c>
      <c r="D26" s="2" t="s">
        <v>562</v>
      </c>
      <c r="E26" s="3">
        <v>1440</v>
      </c>
      <c r="F26" s="3">
        <v>2340</v>
      </c>
      <c r="G26" s="3">
        <v>3600</v>
      </c>
      <c r="H26" s="2" t="s">
        <v>17</v>
      </c>
      <c r="I26" s="2" t="s">
        <v>648</v>
      </c>
      <c r="J26" s="2" t="s">
        <v>649</v>
      </c>
    </row>
    <row r="27" spans="1:10" x14ac:dyDescent="0.45">
      <c r="A27" s="4" t="s">
        <v>565</v>
      </c>
      <c r="B27" s="4" t="s">
        <v>650</v>
      </c>
      <c r="C27" s="4" t="s">
        <v>651</v>
      </c>
      <c r="D27" s="4" t="s">
        <v>491</v>
      </c>
      <c r="E27" s="5">
        <v>200</v>
      </c>
      <c r="F27" s="5">
        <v>300</v>
      </c>
      <c r="G27" s="5">
        <v>450</v>
      </c>
      <c r="H27" s="4" t="s">
        <v>17</v>
      </c>
      <c r="I27" s="4" t="s">
        <v>652</v>
      </c>
      <c r="J27" s="4" t="s">
        <v>535</v>
      </c>
    </row>
    <row r="28" spans="1:10" x14ac:dyDescent="0.45">
      <c r="A28" s="6" t="s">
        <v>569</v>
      </c>
      <c r="B28" s="6"/>
      <c r="C28" s="6"/>
      <c r="D28" s="6"/>
      <c r="E28" s="7">
        <f>SUM(E2:E27)</f>
        <v>8458</v>
      </c>
      <c r="F28" s="7">
        <f>SUM(F2:F27)</f>
        <v>11945</v>
      </c>
      <c r="G28" s="7">
        <f>SUM(G2:G27)</f>
        <v>17129</v>
      </c>
      <c r="H28" s="6"/>
      <c r="I28" s="6"/>
      <c r="J28" s="6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46" customWidth="1"/>
    <col min="3" max="3" width="24" customWidth="1"/>
    <col min="4" max="4" width="14" customWidth="1"/>
    <col min="5" max="7" width="12" customWidth="1"/>
    <col min="8" max="8" width="14" customWidth="1"/>
    <col min="9" max="9" width="52" customWidth="1"/>
    <col min="10" max="10" width="12" customWidth="1"/>
  </cols>
  <sheetData>
    <row r="1" spans="1:10" ht="36" customHeight="1" x14ac:dyDescent="0.4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 spans="1:10" x14ac:dyDescent="0.45">
      <c r="A2" s="2" t="s">
        <v>488</v>
      </c>
      <c r="B2" s="2" t="s">
        <v>570</v>
      </c>
      <c r="C2" s="2" t="s">
        <v>571</v>
      </c>
      <c r="D2" s="2" t="s">
        <v>491</v>
      </c>
      <c r="E2" s="3">
        <v>3800</v>
      </c>
      <c r="F2" s="3">
        <v>4800</v>
      </c>
      <c r="G2" s="3">
        <v>6400</v>
      </c>
      <c r="H2" s="2" t="s">
        <v>18</v>
      </c>
      <c r="I2" s="2" t="s">
        <v>653</v>
      </c>
      <c r="J2" s="2" t="s">
        <v>573</v>
      </c>
    </row>
    <row r="3" spans="1:10" x14ac:dyDescent="0.45">
      <c r="A3" s="4" t="s">
        <v>494</v>
      </c>
      <c r="B3" s="4" t="s">
        <v>495</v>
      </c>
      <c r="C3" s="4" t="s">
        <v>496</v>
      </c>
      <c r="D3" s="4" t="s">
        <v>491</v>
      </c>
      <c r="E3" s="5">
        <v>200</v>
      </c>
      <c r="F3" s="5">
        <v>300</v>
      </c>
      <c r="G3" s="5">
        <v>450</v>
      </c>
      <c r="H3" s="4" t="s">
        <v>42</v>
      </c>
      <c r="I3" s="4" t="s">
        <v>574</v>
      </c>
      <c r="J3" s="4" t="s">
        <v>573</v>
      </c>
    </row>
    <row r="4" spans="1:10" x14ac:dyDescent="0.45">
      <c r="A4" s="2" t="s">
        <v>498</v>
      </c>
      <c r="B4" s="2" t="s">
        <v>654</v>
      </c>
      <c r="C4" s="2" t="s">
        <v>576</v>
      </c>
      <c r="D4" s="2" t="s">
        <v>491</v>
      </c>
      <c r="E4" s="3">
        <v>800</v>
      </c>
      <c r="F4" s="3">
        <v>1200</v>
      </c>
      <c r="G4" s="3">
        <v>1800</v>
      </c>
      <c r="H4" s="2" t="s">
        <v>17</v>
      </c>
      <c r="I4" s="2" t="s">
        <v>655</v>
      </c>
      <c r="J4" s="2" t="s">
        <v>578</v>
      </c>
    </row>
    <row r="5" spans="1:10" x14ac:dyDescent="0.45">
      <c r="A5" s="4" t="s">
        <v>498</v>
      </c>
      <c r="B5" s="4" t="s">
        <v>582</v>
      </c>
      <c r="C5" s="4" t="s">
        <v>583</v>
      </c>
      <c r="D5" s="4" t="s">
        <v>501</v>
      </c>
      <c r="E5" s="5">
        <v>360</v>
      </c>
      <c r="F5" s="5">
        <v>560</v>
      </c>
      <c r="G5" s="5">
        <v>900</v>
      </c>
      <c r="H5" s="4" t="s">
        <v>17</v>
      </c>
      <c r="I5" s="4" t="s">
        <v>584</v>
      </c>
      <c r="J5" s="4" t="s">
        <v>578</v>
      </c>
    </row>
    <row r="6" spans="1:10" x14ac:dyDescent="0.45">
      <c r="A6" s="2" t="s">
        <v>498</v>
      </c>
      <c r="B6" s="2" t="s">
        <v>656</v>
      </c>
      <c r="C6" s="2" t="s">
        <v>586</v>
      </c>
      <c r="D6" s="2" t="s">
        <v>506</v>
      </c>
      <c r="E6" s="3">
        <v>750</v>
      </c>
      <c r="F6" s="3">
        <v>1125</v>
      </c>
      <c r="G6" s="3">
        <v>1800</v>
      </c>
      <c r="H6" s="2" t="s">
        <v>17</v>
      </c>
      <c r="I6" s="2" t="s">
        <v>657</v>
      </c>
      <c r="J6" s="2" t="s">
        <v>578</v>
      </c>
    </row>
    <row r="7" spans="1:10" ht="26.25" x14ac:dyDescent="0.45">
      <c r="A7" s="4" t="s">
        <v>588</v>
      </c>
      <c r="B7" s="4" t="s">
        <v>658</v>
      </c>
      <c r="C7" s="4" t="s">
        <v>590</v>
      </c>
      <c r="D7" s="4" t="s">
        <v>659</v>
      </c>
      <c r="E7" s="5">
        <v>110</v>
      </c>
      <c r="F7" s="5">
        <v>116</v>
      </c>
      <c r="G7" s="5">
        <v>116</v>
      </c>
      <c r="H7" s="4" t="s">
        <v>21</v>
      </c>
      <c r="I7" s="4" t="s">
        <v>660</v>
      </c>
      <c r="J7" s="4" t="s">
        <v>593</v>
      </c>
    </row>
    <row r="8" spans="1:10" ht="26.25" x14ac:dyDescent="0.45">
      <c r="A8" s="2" t="s">
        <v>601</v>
      </c>
      <c r="B8" s="2" t="s">
        <v>661</v>
      </c>
      <c r="C8" s="2" t="s">
        <v>662</v>
      </c>
      <c r="D8" s="2" t="s">
        <v>591</v>
      </c>
      <c r="E8" s="3">
        <v>60</v>
      </c>
      <c r="F8" s="3">
        <v>100</v>
      </c>
      <c r="G8" s="3">
        <v>100</v>
      </c>
      <c r="H8" s="2" t="s">
        <v>21</v>
      </c>
      <c r="I8" s="2" t="s">
        <v>663</v>
      </c>
      <c r="J8" s="2" t="s">
        <v>593</v>
      </c>
    </row>
    <row r="9" spans="1:10" x14ac:dyDescent="0.45">
      <c r="A9" s="4" t="s">
        <v>588</v>
      </c>
      <c r="B9" s="4" t="s">
        <v>594</v>
      </c>
      <c r="C9" s="4" t="s">
        <v>595</v>
      </c>
      <c r="D9" s="4" t="s">
        <v>491</v>
      </c>
      <c r="E9" s="5">
        <v>100</v>
      </c>
      <c r="F9" s="5">
        <v>140</v>
      </c>
      <c r="G9" s="5">
        <v>200</v>
      </c>
      <c r="H9" s="4" t="s">
        <v>21</v>
      </c>
      <c r="I9" s="4" t="s">
        <v>664</v>
      </c>
      <c r="J9" s="4" t="s">
        <v>593</v>
      </c>
    </row>
    <row r="10" spans="1:10" x14ac:dyDescent="0.45">
      <c r="A10" s="2" t="s">
        <v>588</v>
      </c>
      <c r="B10" s="2" t="s">
        <v>597</v>
      </c>
      <c r="C10" s="2" t="s">
        <v>598</v>
      </c>
      <c r="D10" s="2" t="s">
        <v>599</v>
      </c>
      <c r="E10" s="3">
        <v>80</v>
      </c>
      <c r="F10" s="3">
        <v>140</v>
      </c>
      <c r="G10" s="3">
        <v>140</v>
      </c>
      <c r="H10" s="2" t="s">
        <v>21</v>
      </c>
      <c r="I10" s="2" t="s">
        <v>600</v>
      </c>
      <c r="J10" s="2" t="s">
        <v>593</v>
      </c>
    </row>
    <row r="11" spans="1:10" x14ac:dyDescent="0.45">
      <c r="A11" s="4" t="s">
        <v>601</v>
      </c>
      <c r="B11" s="4" t="s">
        <v>602</v>
      </c>
      <c r="C11" s="4" t="s">
        <v>603</v>
      </c>
      <c r="D11" s="4" t="s">
        <v>491</v>
      </c>
      <c r="E11" s="5">
        <v>35</v>
      </c>
      <c r="F11" s="5">
        <v>52</v>
      </c>
      <c r="G11" s="5">
        <v>52</v>
      </c>
      <c r="H11" s="4" t="s">
        <v>21</v>
      </c>
      <c r="I11" s="4" t="s">
        <v>604</v>
      </c>
      <c r="J11" s="4" t="s">
        <v>593</v>
      </c>
    </row>
    <row r="12" spans="1:10" x14ac:dyDescent="0.45">
      <c r="A12" s="2" t="s">
        <v>601</v>
      </c>
      <c r="B12" s="2" t="s">
        <v>605</v>
      </c>
      <c r="C12" s="2" t="s">
        <v>606</v>
      </c>
      <c r="D12" s="2" t="s">
        <v>607</v>
      </c>
      <c r="E12" s="3">
        <v>30</v>
      </c>
      <c r="F12" s="3">
        <v>38</v>
      </c>
      <c r="G12" s="3">
        <v>38</v>
      </c>
      <c r="H12" s="2" t="s">
        <v>21</v>
      </c>
      <c r="I12" s="2" t="s">
        <v>608</v>
      </c>
      <c r="J12" s="2" t="s">
        <v>593</v>
      </c>
    </row>
    <row r="13" spans="1:10" x14ac:dyDescent="0.45">
      <c r="A13" s="4" t="s">
        <v>537</v>
      </c>
      <c r="B13" s="4" t="s">
        <v>609</v>
      </c>
      <c r="C13" s="4" t="s">
        <v>610</v>
      </c>
      <c r="D13" s="4" t="s">
        <v>611</v>
      </c>
      <c r="E13" s="5">
        <v>30</v>
      </c>
      <c r="F13" s="5">
        <v>45</v>
      </c>
      <c r="G13" s="5">
        <v>45</v>
      </c>
      <c r="H13" s="4" t="s">
        <v>21</v>
      </c>
      <c r="I13" s="4" t="s">
        <v>612</v>
      </c>
      <c r="J13" s="4" t="s">
        <v>613</v>
      </c>
    </row>
    <row r="14" spans="1:10" x14ac:dyDescent="0.45">
      <c r="A14" s="2" t="s">
        <v>537</v>
      </c>
      <c r="B14" s="2" t="s">
        <v>614</v>
      </c>
      <c r="C14" s="2" t="s">
        <v>546</v>
      </c>
      <c r="D14" s="2" t="s">
        <v>501</v>
      </c>
      <c r="E14" s="3">
        <v>0</v>
      </c>
      <c r="F14" s="3">
        <v>24</v>
      </c>
      <c r="G14" s="3">
        <v>24</v>
      </c>
      <c r="H14" s="2" t="s">
        <v>21</v>
      </c>
      <c r="I14" s="2" t="s">
        <v>615</v>
      </c>
      <c r="J14" s="2" t="s">
        <v>613</v>
      </c>
    </row>
    <row r="15" spans="1:10" ht="26.25" x14ac:dyDescent="0.45">
      <c r="A15" s="4" t="s">
        <v>537</v>
      </c>
      <c r="B15" s="4" t="s">
        <v>665</v>
      </c>
      <c r="C15" s="4" t="s">
        <v>666</v>
      </c>
      <c r="D15" s="4" t="s">
        <v>491</v>
      </c>
      <c r="E15" s="5">
        <v>80</v>
      </c>
      <c r="F15" s="5">
        <v>200</v>
      </c>
      <c r="G15" s="5">
        <v>280</v>
      </c>
      <c r="H15" s="4" t="s">
        <v>17</v>
      </c>
      <c r="I15" s="4" t="s">
        <v>667</v>
      </c>
      <c r="J15" s="4" t="s">
        <v>668</v>
      </c>
    </row>
    <row r="16" spans="1:10" x14ac:dyDescent="0.45">
      <c r="A16" s="2" t="s">
        <v>537</v>
      </c>
      <c r="B16" s="2" t="s">
        <v>669</v>
      </c>
      <c r="C16" s="2" t="s">
        <v>543</v>
      </c>
      <c r="D16" s="2" t="s">
        <v>491</v>
      </c>
      <c r="E16" s="3">
        <v>36</v>
      </c>
      <c r="F16" s="3">
        <v>50</v>
      </c>
      <c r="G16" s="3">
        <v>50</v>
      </c>
      <c r="H16" s="2" t="s">
        <v>21</v>
      </c>
      <c r="I16" s="2" t="s">
        <v>670</v>
      </c>
      <c r="J16" s="2" t="s">
        <v>668</v>
      </c>
    </row>
    <row r="17" spans="1:10" x14ac:dyDescent="0.45">
      <c r="A17" s="4" t="s">
        <v>537</v>
      </c>
      <c r="B17" s="4" t="s">
        <v>671</v>
      </c>
      <c r="C17" s="4" t="s">
        <v>626</v>
      </c>
      <c r="D17" s="4" t="s">
        <v>491</v>
      </c>
      <c r="E17" s="5">
        <v>80</v>
      </c>
      <c r="F17" s="5">
        <v>92</v>
      </c>
      <c r="G17" s="5">
        <v>92</v>
      </c>
      <c r="H17" s="4" t="s">
        <v>21</v>
      </c>
      <c r="I17" s="4" t="s">
        <v>627</v>
      </c>
      <c r="J17" s="4" t="s">
        <v>613</v>
      </c>
    </row>
    <row r="18" spans="1:10" x14ac:dyDescent="0.45">
      <c r="A18" s="2" t="s">
        <v>537</v>
      </c>
      <c r="B18" s="2" t="s">
        <v>628</v>
      </c>
      <c r="C18" s="2" t="s">
        <v>629</v>
      </c>
      <c r="D18" s="2" t="s">
        <v>491</v>
      </c>
      <c r="E18" s="3">
        <v>110</v>
      </c>
      <c r="F18" s="3">
        <v>143</v>
      </c>
      <c r="G18" s="3">
        <v>143</v>
      </c>
      <c r="H18" s="2" t="s">
        <v>21</v>
      </c>
      <c r="I18" s="2" t="s">
        <v>672</v>
      </c>
      <c r="J18" s="2" t="s">
        <v>613</v>
      </c>
    </row>
    <row r="19" spans="1:10" x14ac:dyDescent="0.45">
      <c r="A19" s="4" t="s">
        <v>537</v>
      </c>
      <c r="B19" s="4" t="s">
        <v>631</v>
      </c>
      <c r="C19" s="4" t="s">
        <v>632</v>
      </c>
      <c r="D19" s="4" t="s">
        <v>491</v>
      </c>
      <c r="E19" s="5">
        <v>28</v>
      </c>
      <c r="F19" s="5">
        <v>28</v>
      </c>
      <c r="G19" s="5">
        <v>28</v>
      </c>
      <c r="H19" s="4" t="s">
        <v>21</v>
      </c>
      <c r="I19" s="4" t="s">
        <v>633</v>
      </c>
      <c r="J19" s="4" t="s">
        <v>613</v>
      </c>
    </row>
    <row r="20" spans="1:10" x14ac:dyDescent="0.45">
      <c r="A20" s="2" t="s">
        <v>537</v>
      </c>
      <c r="B20" s="2" t="s">
        <v>673</v>
      </c>
      <c r="C20" s="2" t="s">
        <v>674</v>
      </c>
      <c r="D20" s="2" t="s">
        <v>491</v>
      </c>
      <c r="E20" s="3">
        <v>90</v>
      </c>
      <c r="F20" s="3">
        <v>109</v>
      </c>
      <c r="G20" s="3">
        <v>109</v>
      </c>
      <c r="H20" s="2" t="s">
        <v>17</v>
      </c>
      <c r="I20" s="2" t="s">
        <v>675</v>
      </c>
      <c r="J20" s="2" t="s">
        <v>613</v>
      </c>
    </row>
    <row r="21" spans="1:10" x14ac:dyDescent="0.45">
      <c r="A21" s="4" t="s">
        <v>537</v>
      </c>
      <c r="B21" s="4" t="s">
        <v>634</v>
      </c>
      <c r="C21" s="4" t="s">
        <v>635</v>
      </c>
      <c r="D21" s="4" t="s">
        <v>491</v>
      </c>
      <c r="E21" s="5">
        <v>45</v>
      </c>
      <c r="F21" s="5">
        <v>63</v>
      </c>
      <c r="G21" s="5">
        <v>63</v>
      </c>
      <c r="H21" s="4" t="s">
        <v>21</v>
      </c>
      <c r="I21" s="4" t="s">
        <v>636</v>
      </c>
      <c r="J21" s="4" t="s">
        <v>613</v>
      </c>
    </row>
    <row r="22" spans="1:10" x14ac:dyDescent="0.45">
      <c r="A22" s="2" t="s">
        <v>537</v>
      </c>
      <c r="B22" s="2" t="s">
        <v>637</v>
      </c>
      <c r="C22" s="2" t="s">
        <v>638</v>
      </c>
      <c r="D22" s="2" t="s">
        <v>491</v>
      </c>
      <c r="E22" s="3">
        <v>0</v>
      </c>
      <c r="F22" s="3">
        <v>64</v>
      </c>
      <c r="G22" s="3">
        <v>64</v>
      </c>
      <c r="H22" s="2" t="s">
        <v>21</v>
      </c>
      <c r="I22" s="2" t="s">
        <v>639</v>
      </c>
      <c r="J22" s="2" t="s">
        <v>613</v>
      </c>
    </row>
    <row r="23" spans="1:10" ht="26.25" x14ac:dyDescent="0.45">
      <c r="A23" s="4" t="s">
        <v>537</v>
      </c>
      <c r="B23" s="4" t="s">
        <v>676</v>
      </c>
      <c r="C23" s="4" t="s">
        <v>534</v>
      </c>
      <c r="D23" s="4" t="s">
        <v>491</v>
      </c>
      <c r="E23" s="5">
        <v>120</v>
      </c>
      <c r="F23" s="5">
        <v>180</v>
      </c>
      <c r="G23" s="5">
        <v>240</v>
      </c>
      <c r="H23" s="4" t="s">
        <v>17</v>
      </c>
      <c r="I23" s="4" t="s">
        <v>677</v>
      </c>
      <c r="J23" s="4" t="s">
        <v>668</v>
      </c>
    </row>
    <row r="24" spans="1:10" x14ac:dyDescent="0.45">
      <c r="A24" s="2" t="s">
        <v>537</v>
      </c>
      <c r="B24" s="2" t="s">
        <v>678</v>
      </c>
      <c r="C24" s="2" t="s">
        <v>534</v>
      </c>
      <c r="D24" s="2" t="s">
        <v>535</v>
      </c>
      <c r="E24" s="3">
        <v>60</v>
      </c>
      <c r="F24" s="3">
        <v>100</v>
      </c>
      <c r="G24" s="3">
        <v>150</v>
      </c>
      <c r="H24" s="2" t="s">
        <v>42</v>
      </c>
      <c r="I24" s="2" t="s">
        <v>534</v>
      </c>
      <c r="J24" s="2" t="s">
        <v>535</v>
      </c>
    </row>
    <row r="25" spans="1:10" x14ac:dyDescent="0.45">
      <c r="A25" s="4" t="s">
        <v>559</v>
      </c>
      <c r="B25" s="4" t="s">
        <v>560</v>
      </c>
      <c r="C25" s="4" t="s">
        <v>647</v>
      </c>
      <c r="D25" s="4" t="s">
        <v>562</v>
      </c>
      <c r="E25" s="5">
        <v>1440</v>
      </c>
      <c r="F25" s="5">
        <v>2340</v>
      </c>
      <c r="G25" s="5">
        <v>3600</v>
      </c>
      <c r="H25" s="4" t="s">
        <v>17</v>
      </c>
      <c r="I25" s="4" t="s">
        <v>679</v>
      </c>
      <c r="J25" s="4" t="s">
        <v>649</v>
      </c>
    </row>
    <row r="26" spans="1:10" x14ac:dyDescent="0.45">
      <c r="A26" s="2" t="s">
        <v>565</v>
      </c>
      <c r="B26" s="2" t="s">
        <v>650</v>
      </c>
      <c r="C26" s="2" t="s">
        <v>651</v>
      </c>
      <c r="D26" s="2" t="s">
        <v>491</v>
      </c>
      <c r="E26" s="3">
        <v>200</v>
      </c>
      <c r="F26" s="3">
        <v>300</v>
      </c>
      <c r="G26" s="3">
        <v>450</v>
      </c>
      <c r="H26" s="2" t="s">
        <v>17</v>
      </c>
      <c r="I26" s="2" t="s">
        <v>652</v>
      </c>
      <c r="J26" s="2" t="s">
        <v>535</v>
      </c>
    </row>
    <row r="27" spans="1:10" x14ac:dyDescent="0.45">
      <c r="A27" s="6" t="s">
        <v>569</v>
      </c>
      <c r="B27" s="6"/>
      <c r="C27" s="6"/>
      <c r="D27" s="6"/>
      <c r="E27" s="7">
        <f>SUM(E2:E26)</f>
        <v>8644</v>
      </c>
      <c r="F27" s="7">
        <f>SUM(F2:F26)</f>
        <v>12309</v>
      </c>
      <c r="G27" s="7">
        <f>SUM(G2:G26)</f>
        <v>17334</v>
      </c>
      <c r="H27" s="6"/>
      <c r="I27" s="6"/>
      <c r="J27" s="6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46" customWidth="1"/>
    <col min="3" max="3" width="24" customWidth="1"/>
    <col min="4" max="7" width="12" customWidth="1"/>
    <col min="8" max="8" width="14" customWidth="1"/>
    <col min="9" max="9" width="52" customWidth="1"/>
    <col min="10" max="10" width="12" customWidth="1"/>
    <col min="11" max="11" width="14" customWidth="1"/>
  </cols>
  <sheetData>
    <row r="1" spans="1:11" ht="36" customHeight="1" x14ac:dyDescent="0.4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  <c r="K1" s="1" t="s">
        <v>680</v>
      </c>
    </row>
    <row r="2" spans="1:11" x14ac:dyDescent="0.45">
      <c r="A2" s="2" t="s">
        <v>488</v>
      </c>
      <c r="B2" s="2" t="s">
        <v>681</v>
      </c>
      <c r="C2" s="2" t="s">
        <v>682</v>
      </c>
      <c r="D2" s="2" t="s">
        <v>491</v>
      </c>
      <c r="E2" s="3">
        <v>2200</v>
      </c>
      <c r="F2" s="3">
        <v>3000</v>
      </c>
      <c r="G2" s="3">
        <v>4000</v>
      </c>
      <c r="H2" s="2" t="s">
        <v>17</v>
      </c>
      <c r="I2" s="2" t="s">
        <v>683</v>
      </c>
      <c r="J2" s="2" t="s">
        <v>684</v>
      </c>
      <c r="K2" s="2" t="s">
        <v>685</v>
      </c>
    </row>
    <row r="3" spans="1:11" x14ac:dyDescent="0.45">
      <c r="A3" s="4" t="s">
        <v>494</v>
      </c>
      <c r="B3" s="4" t="s">
        <v>686</v>
      </c>
      <c r="C3" s="4" t="s">
        <v>687</v>
      </c>
      <c r="D3" s="4" t="s">
        <v>491</v>
      </c>
      <c r="E3" s="5">
        <v>100</v>
      </c>
      <c r="F3" s="5">
        <v>240</v>
      </c>
      <c r="G3" s="5">
        <v>400</v>
      </c>
      <c r="H3" s="4" t="s">
        <v>42</v>
      </c>
      <c r="I3" s="4" t="s">
        <v>688</v>
      </c>
      <c r="J3" s="4" t="s">
        <v>684</v>
      </c>
      <c r="K3" s="4" t="s">
        <v>685</v>
      </c>
    </row>
    <row r="4" spans="1:11" ht="26.25" x14ac:dyDescent="0.45">
      <c r="A4" s="2" t="s">
        <v>689</v>
      </c>
      <c r="B4" s="2" t="s">
        <v>690</v>
      </c>
      <c r="C4" s="2" t="s">
        <v>691</v>
      </c>
      <c r="D4" s="2" t="s">
        <v>692</v>
      </c>
      <c r="E4" s="3">
        <v>6500</v>
      </c>
      <c r="F4" s="3">
        <v>7800</v>
      </c>
      <c r="G4" s="3">
        <v>9500</v>
      </c>
      <c r="H4" s="2" t="s">
        <v>17</v>
      </c>
      <c r="I4" s="2" t="s">
        <v>693</v>
      </c>
      <c r="J4" s="2" t="s">
        <v>694</v>
      </c>
      <c r="K4" s="2" t="s">
        <v>695</v>
      </c>
    </row>
    <row r="5" spans="1:11" x14ac:dyDescent="0.45">
      <c r="A5" s="4" t="s">
        <v>696</v>
      </c>
      <c r="B5" s="4" t="s">
        <v>697</v>
      </c>
      <c r="C5" s="4" t="s">
        <v>698</v>
      </c>
      <c r="D5" s="4" t="s">
        <v>699</v>
      </c>
      <c r="E5" s="5">
        <v>1800</v>
      </c>
      <c r="F5" s="5">
        <v>2280</v>
      </c>
      <c r="G5" s="5">
        <v>2700</v>
      </c>
      <c r="H5" s="4" t="s">
        <v>17</v>
      </c>
      <c r="I5" s="4" t="s">
        <v>700</v>
      </c>
      <c r="J5" s="4" t="s">
        <v>694</v>
      </c>
      <c r="K5" s="4" t="s">
        <v>701</v>
      </c>
    </row>
    <row r="6" spans="1:11" x14ac:dyDescent="0.45">
      <c r="A6" s="2" t="s">
        <v>696</v>
      </c>
      <c r="B6" s="2" t="s">
        <v>702</v>
      </c>
      <c r="C6" s="2" t="s">
        <v>703</v>
      </c>
      <c r="D6" s="2" t="s">
        <v>704</v>
      </c>
      <c r="E6" s="3">
        <v>1000</v>
      </c>
      <c r="F6" s="3">
        <v>1160</v>
      </c>
      <c r="G6" s="3">
        <v>1520</v>
      </c>
      <c r="H6" s="2" t="s">
        <v>17</v>
      </c>
      <c r="I6" s="2" t="s">
        <v>705</v>
      </c>
      <c r="J6" s="2" t="s">
        <v>694</v>
      </c>
      <c r="K6" s="2" t="s">
        <v>701</v>
      </c>
    </row>
    <row r="7" spans="1:11" x14ac:dyDescent="0.45">
      <c r="A7" s="4" t="s">
        <v>706</v>
      </c>
      <c r="B7" s="4" t="s">
        <v>707</v>
      </c>
      <c r="C7" s="4" t="s">
        <v>708</v>
      </c>
      <c r="D7" s="4" t="s">
        <v>535</v>
      </c>
      <c r="E7" s="5">
        <v>0</v>
      </c>
      <c r="F7" s="5">
        <v>0</v>
      </c>
      <c r="G7" s="5">
        <v>0</v>
      </c>
      <c r="H7" s="4" t="s">
        <v>21</v>
      </c>
      <c r="I7" s="4" t="s">
        <v>709</v>
      </c>
      <c r="J7" s="4" t="s">
        <v>710</v>
      </c>
      <c r="K7" s="4" t="s">
        <v>695</v>
      </c>
    </row>
    <row r="8" spans="1:11" x14ac:dyDescent="0.45">
      <c r="A8" s="2" t="s">
        <v>706</v>
      </c>
      <c r="B8" s="2" t="s">
        <v>711</v>
      </c>
      <c r="C8" s="2" t="s">
        <v>534</v>
      </c>
      <c r="D8" s="2" t="s">
        <v>535</v>
      </c>
      <c r="E8" s="3">
        <v>0</v>
      </c>
      <c r="F8" s="3">
        <v>120</v>
      </c>
      <c r="G8" s="3">
        <v>200</v>
      </c>
      <c r="H8" s="2" t="s">
        <v>42</v>
      </c>
      <c r="I8" s="2" t="s">
        <v>712</v>
      </c>
      <c r="J8" s="2" t="s">
        <v>710</v>
      </c>
      <c r="K8" s="2" t="s">
        <v>695</v>
      </c>
    </row>
    <row r="9" spans="1:11" x14ac:dyDescent="0.45">
      <c r="A9" s="4" t="s">
        <v>713</v>
      </c>
      <c r="B9" s="4" t="s">
        <v>714</v>
      </c>
      <c r="C9" s="4" t="s">
        <v>715</v>
      </c>
      <c r="D9" s="4" t="s">
        <v>513</v>
      </c>
      <c r="E9" s="5">
        <v>90</v>
      </c>
      <c r="F9" s="5">
        <v>95</v>
      </c>
      <c r="G9" s="5">
        <v>110</v>
      </c>
      <c r="H9" s="4" t="s">
        <v>21</v>
      </c>
      <c r="I9" s="4" t="s">
        <v>716</v>
      </c>
      <c r="J9" s="4" t="s">
        <v>710</v>
      </c>
      <c r="K9" s="4" t="s">
        <v>701</v>
      </c>
    </row>
    <row r="10" spans="1:11" x14ac:dyDescent="0.45">
      <c r="A10" s="2" t="s">
        <v>713</v>
      </c>
      <c r="B10" s="2" t="s">
        <v>717</v>
      </c>
      <c r="C10" s="2" t="s">
        <v>718</v>
      </c>
      <c r="D10" s="2" t="s">
        <v>513</v>
      </c>
      <c r="E10" s="3">
        <v>100</v>
      </c>
      <c r="F10" s="3">
        <v>130</v>
      </c>
      <c r="G10" s="3">
        <v>180</v>
      </c>
      <c r="H10" s="2" t="s">
        <v>17</v>
      </c>
      <c r="I10" s="2" t="s">
        <v>719</v>
      </c>
      <c r="J10" s="2" t="s">
        <v>710</v>
      </c>
      <c r="K10" s="2" t="s">
        <v>701</v>
      </c>
    </row>
    <row r="11" spans="1:11" x14ac:dyDescent="0.45">
      <c r="A11" s="4" t="s">
        <v>713</v>
      </c>
      <c r="B11" s="4" t="s">
        <v>720</v>
      </c>
      <c r="C11" s="4" t="s">
        <v>721</v>
      </c>
      <c r="D11" s="4" t="s">
        <v>513</v>
      </c>
      <c r="E11" s="5">
        <v>100</v>
      </c>
      <c r="F11" s="5">
        <v>115</v>
      </c>
      <c r="G11" s="5">
        <v>130</v>
      </c>
      <c r="H11" s="4" t="s">
        <v>21</v>
      </c>
      <c r="I11" s="4" t="s">
        <v>716</v>
      </c>
      <c r="J11" s="4" t="s">
        <v>710</v>
      </c>
      <c r="K11" s="4" t="s">
        <v>701</v>
      </c>
    </row>
    <row r="12" spans="1:11" x14ac:dyDescent="0.45">
      <c r="A12" s="2" t="s">
        <v>713</v>
      </c>
      <c r="B12" s="2" t="s">
        <v>722</v>
      </c>
      <c r="C12" s="2" t="s">
        <v>534</v>
      </c>
      <c r="D12" s="2" t="s">
        <v>535</v>
      </c>
      <c r="E12" s="3">
        <v>200</v>
      </c>
      <c r="F12" s="3">
        <v>300</v>
      </c>
      <c r="G12" s="3">
        <v>450</v>
      </c>
      <c r="H12" s="2" t="s">
        <v>42</v>
      </c>
      <c r="I12" s="2" t="s">
        <v>723</v>
      </c>
      <c r="J12" s="2" t="s">
        <v>710</v>
      </c>
      <c r="K12" s="2" t="s">
        <v>701</v>
      </c>
    </row>
    <row r="13" spans="1:11" x14ac:dyDescent="0.45">
      <c r="A13" s="4" t="s">
        <v>537</v>
      </c>
      <c r="B13" s="4" t="s">
        <v>724</v>
      </c>
      <c r="C13" s="4" t="s">
        <v>725</v>
      </c>
      <c r="D13" s="4" t="s">
        <v>491</v>
      </c>
      <c r="E13" s="5">
        <v>200</v>
      </c>
      <c r="F13" s="5">
        <v>215</v>
      </c>
      <c r="G13" s="5">
        <v>240</v>
      </c>
      <c r="H13" s="4" t="s">
        <v>21</v>
      </c>
      <c r="I13" s="4" t="s">
        <v>726</v>
      </c>
      <c r="J13" s="4" t="s">
        <v>727</v>
      </c>
      <c r="K13" s="4" t="s">
        <v>685</v>
      </c>
    </row>
    <row r="14" spans="1:11" x14ac:dyDescent="0.45">
      <c r="A14" s="2" t="s">
        <v>537</v>
      </c>
      <c r="B14" s="2" t="s">
        <v>728</v>
      </c>
      <c r="C14" s="2" t="s">
        <v>729</v>
      </c>
      <c r="D14" s="2" t="s">
        <v>491</v>
      </c>
      <c r="E14" s="3">
        <v>280</v>
      </c>
      <c r="F14" s="3">
        <v>400</v>
      </c>
      <c r="G14" s="3">
        <v>560</v>
      </c>
      <c r="H14" s="2" t="s">
        <v>17</v>
      </c>
      <c r="I14" s="2" t="s">
        <v>730</v>
      </c>
      <c r="J14" s="2" t="s">
        <v>727</v>
      </c>
      <c r="K14" s="2" t="s">
        <v>685</v>
      </c>
    </row>
    <row r="15" spans="1:11" x14ac:dyDescent="0.45">
      <c r="A15" s="4" t="s">
        <v>537</v>
      </c>
      <c r="B15" s="4" t="s">
        <v>731</v>
      </c>
      <c r="C15" s="4" t="s">
        <v>732</v>
      </c>
      <c r="D15" s="4" t="s">
        <v>491</v>
      </c>
      <c r="E15" s="5">
        <v>360</v>
      </c>
      <c r="F15" s="5">
        <v>440</v>
      </c>
      <c r="G15" s="5">
        <v>560</v>
      </c>
      <c r="H15" s="4" t="s">
        <v>17</v>
      </c>
      <c r="I15" s="4" t="s">
        <v>733</v>
      </c>
      <c r="J15" s="4" t="s">
        <v>727</v>
      </c>
      <c r="K15" s="4" t="s">
        <v>685</v>
      </c>
    </row>
    <row r="16" spans="1:11" x14ac:dyDescent="0.45">
      <c r="A16" s="2" t="s">
        <v>537</v>
      </c>
      <c r="B16" s="2" t="s">
        <v>734</v>
      </c>
      <c r="C16" s="2" t="s">
        <v>735</v>
      </c>
      <c r="D16" s="2" t="s">
        <v>491</v>
      </c>
      <c r="E16" s="3">
        <v>280</v>
      </c>
      <c r="F16" s="3">
        <v>360</v>
      </c>
      <c r="G16" s="3">
        <v>480</v>
      </c>
      <c r="H16" s="2" t="s">
        <v>17</v>
      </c>
      <c r="I16" s="2" t="s">
        <v>736</v>
      </c>
      <c r="J16" s="2" t="s">
        <v>727</v>
      </c>
      <c r="K16" s="2" t="s">
        <v>685</v>
      </c>
    </row>
    <row r="17" spans="1:11" x14ac:dyDescent="0.45">
      <c r="A17" s="4" t="s">
        <v>537</v>
      </c>
      <c r="B17" s="4" t="s">
        <v>737</v>
      </c>
      <c r="C17" s="4" t="s">
        <v>738</v>
      </c>
      <c r="D17" s="4" t="s">
        <v>491</v>
      </c>
      <c r="E17" s="5">
        <v>40</v>
      </c>
      <c r="F17" s="5">
        <v>40</v>
      </c>
      <c r="G17" s="5">
        <v>40</v>
      </c>
      <c r="H17" s="4" t="s">
        <v>21</v>
      </c>
      <c r="I17" s="4" t="s">
        <v>739</v>
      </c>
      <c r="J17" s="4" t="s">
        <v>727</v>
      </c>
      <c r="K17" s="4" t="s">
        <v>685</v>
      </c>
    </row>
    <row r="18" spans="1:11" x14ac:dyDescent="0.45">
      <c r="A18" s="2" t="s">
        <v>537</v>
      </c>
      <c r="B18" s="2" t="s">
        <v>740</v>
      </c>
      <c r="C18" s="2" t="s">
        <v>741</v>
      </c>
      <c r="D18" s="2" t="s">
        <v>491</v>
      </c>
      <c r="E18" s="3">
        <v>0</v>
      </c>
      <c r="F18" s="3">
        <v>44</v>
      </c>
      <c r="G18" s="3">
        <v>44</v>
      </c>
      <c r="H18" s="2" t="s">
        <v>21</v>
      </c>
      <c r="I18" s="2" t="s">
        <v>742</v>
      </c>
      <c r="J18" s="2" t="s">
        <v>727</v>
      </c>
      <c r="K18" s="2" t="s">
        <v>685</v>
      </c>
    </row>
    <row r="19" spans="1:11" x14ac:dyDescent="0.45">
      <c r="A19" s="4" t="s">
        <v>537</v>
      </c>
      <c r="B19" s="4" t="s">
        <v>743</v>
      </c>
      <c r="C19" s="4" t="s">
        <v>744</v>
      </c>
      <c r="D19" s="4" t="s">
        <v>599</v>
      </c>
      <c r="E19" s="5">
        <v>0</v>
      </c>
      <c r="F19" s="5">
        <v>70</v>
      </c>
      <c r="G19" s="5">
        <v>90</v>
      </c>
      <c r="H19" s="4" t="s">
        <v>42</v>
      </c>
      <c r="I19" s="4" t="s">
        <v>745</v>
      </c>
      <c r="J19" s="4" t="s">
        <v>710</v>
      </c>
      <c r="K19" s="4" t="s">
        <v>685</v>
      </c>
    </row>
    <row r="20" spans="1:11" x14ac:dyDescent="0.45">
      <c r="A20" s="2" t="s">
        <v>746</v>
      </c>
      <c r="B20" s="2" t="s">
        <v>747</v>
      </c>
      <c r="C20" s="2" t="s">
        <v>748</v>
      </c>
      <c r="D20" s="2" t="s">
        <v>491</v>
      </c>
      <c r="E20" s="3">
        <v>0</v>
      </c>
      <c r="F20" s="3">
        <v>0</v>
      </c>
      <c r="G20" s="3">
        <v>380</v>
      </c>
      <c r="H20" s="2" t="s">
        <v>42</v>
      </c>
      <c r="I20" s="2" t="s">
        <v>749</v>
      </c>
      <c r="J20" s="2" t="s">
        <v>727</v>
      </c>
      <c r="K20" s="2" t="s">
        <v>685</v>
      </c>
    </row>
    <row r="21" spans="1:11" x14ac:dyDescent="0.45">
      <c r="A21" s="4" t="s">
        <v>746</v>
      </c>
      <c r="B21" s="4" t="s">
        <v>750</v>
      </c>
      <c r="C21" s="4" t="s">
        <v>751</v>
      </c>
      <c r="D21" s="4" t="s">
        <v>491</v>
      </c>
      <c r="E21" s="5">
        <v>0</v>
      </c>
      <c r="F21" s="5">
        <v>0</v>
      </c>
      <c r="G21" s="5">
        <v>160</v>
      </c>
      <c r="H21" s="4" t="s">
        <v>42</v>
      </c>
      <c r="I21" s="4" t="s">
        <v>752</v>
      </c>
      <c r="J21" s="4" t="s">
        <v>727</v>
      </c>
      <c r="K21" s="4" t="s">
        <v>685</v>
      </c>
    </row>
    <row r="22" spans="1:11" x14ac:dyDescent="0.45">
      <c r="A22" s="2" t="s">
        <v>753</v>
      </c>
      <c r="B22" s="2" t="s">
        <v>754</v>
      </c>
      <c r="C22" s="2" t="s">
        <v>755</v>
      </c>
      <c r="D22" s="2" t="s">
        <v>756</v>
      </c>
      <c r="E22" s="3">
        <v>150</v>
      </c>
      <c r="F22" s="3">
        <v>300</v>
      </c>
      <c r="G22" s="3">
        <v>600</v>
      </c>
      <c r="H22" s="2" t="s">
        <v>42</v>
      </c>
      <c r="I22" s="2" t="s">
        <v>757</v>
      </c>
      <c r="J22" s="2" t="s">
        <v>758</v>
      </c>
      <c r="K22" s="2" t="s">
        <v>695</v>
      </c>
    </row>
    <row r="23" spans="1:11" x14ac:dyDescent="0.45">
      <c r="A23" s="4" t="s">
        <v>759</v>
      </c>
      <c r="B23" s="4" t="s">
        <v>760</v>
      </c>
      <c r="C23" s="4" t="s">
        <v>761</v>
      </c>
      <c r="D23" s="4" t="s">
        <v>762</v>
      </c>
      <c r="E23" s="5">
        <v>2000</v>
      </c>
      <c r="F23" s="5">
        <v>3000</v>
      </c>
      <c r="G23" s="5">
        <v>4400</v>
      </c>
      <c r="H23" s="4" t="s">
        <v>17</v>
      </c>
      <c r="I23" s="4" t="s">
        <v>763</v>
      </c>
      <c r="J23" s="4" t="s">
        <v>758</v>
      </c>
      <c r="K23" s="4" t="s">
        <v>701</v>
      </c>
    </row>
    <row r="24" spans="1:11" x14ac:dyDescent="0.45">
      <c r="A24" s="2" t="s">
        <v>764</v>
      </c>
      <c r="B24" s="2" t="s">
        <v>765</v>
      </c>
      <c r="C24" s="2" t="s">
        <v>534</v>
      </c>
      <c r="D24" s="2" t="s">
        <v>535</v>
      </c>
      <c r="E24" s="3">
        <v>100</v>
      </c>
      <c r="F24" s="3">
        <v>200</v>
      </c>
      <c r="G24" s="3">
        <v>350</v>
      </c>
      <c r="H24" s="2" t="s">
        <v>42</v>
      </c>
      <c r="I24" s="2" t="s">
        <v>534</v>
      </c>
      <c r="J24" s="2" t="s">
        <v>535</v>
      </c>
      <c r="K24" s="2" t="s">
        <v>685</v>
      </c>
    </row>
    <row r="25" spans="1:11" x14ac:dyDescent="0.45">
      <c r="A25" s="4" t="s">
        <v>565</v>
      </c>
      <c r="B25" s="4" t="s">
        <v>766</v>
      </c>
      <c r="C25" s="4" t="s">
        <v>767</v>
      </c>
      <c r="D25" s="4" t="s">
        <v>491</v>
      </c>
      <c r="E25" s="5">
        <v>300</v>
      </c>
      <c r="F25" s="5">
        <v>450</v>
      </c>
      <c r="G25" s="5">
        <v>600</v>
      </c>
      <c r="H25" s="4" t="s">
        <v>17</v>
      </c>
      <c r="I25" s="4" t="s">
        <v>768</v>
      </c>
      <c r="J25" s="4" t="s">
        <v>535</v>
      </c>
      <c r="K25" s="4" t="s">
        <v>685</v>
      </c>
    </row>
    <row r="26" spans="1:11" ht="39.4" x14ac:dyDescent="0.45">
      <c r="A26" s="6" t="s">
        <v>769</v>
      </c>
      <c r="B26" s="6"/>
      <c r="C26" s="6"/>
      <c r="D26" s="6"/>
      <c r="E26" s="7">
        <f>SUMIF($K$2:$K$25,"Both",E2:E25)+SUMIF($K$2:$K$25,"Option A only",E2:E25)</f>
        <v>10510</v>
      </c>
      <c r="F26" s="7">
        <f>SUMIF($K$2:$K$25,"Both",F2:F25)+SUMIF($K$2:$K$25,"Option A only",F2:F25)</f>
        <v>13679</v>
      </c>
      <c r="G26" s="7">
        <f>SUMIF($K$2:$K$25,"Both",G2:G25)+SUMIF($K$2:$K$25,"Option A only",G2:G25)</f>
        <v>18204</v>
      </c>
      <c r="H26" s="6"/>
      <c r="I26" s="6"/>
      <c r="J26" s="6"/>
      <c r="K26" s="6" t="s">
        <v>770</v>
      </c>
    </row>
    <row r="27" spans="1:11" ht="26.25" x14ac:dyDescent="0.45">
      <c r="A27" s="6" t="s">
        <v>771</v>
      </c>
      <c r="B27" s="6"/>
      <c r="C27" s="6"/>
      <c r="D27" s="6"/>
      <c r="E27" s="7">
        <f>SUMIF($K$2:$K$25,"Both",E2:E25)+SUMIF($K$2:$K$25,"Option B only",E2:E25)</f>
        <v>9150</v>
      </c>
      <c r="F27" s="7">
        <f>SUMIF($K$2:$K$25,"Both",F2:F25)+SUMIF($K$2:$K$25,"Option B only",F2:F25)</f>
        <v>12539</v>
      </c>
      <c r="G27" s="7">
        <f>SUMIF($K$2:$K$25,"Both",G2:G25)+SUMIF($K$2:$K$25,"Option B only",G2:G25)</f>
        <v>17394</v>
      </c>
      <c r="H27" s="6"/>
      <c r="I27" s="6"/>
      <c r="J27" s="6"/>
      <c r="K27" s="6" t="s">
        <v>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46" customWidth="1"/>
    <col min="3" max="3" width="24" customWidth="1"/>
    <col min="4" max="4" width="10" customWidth="1"/>
    <col min="5" max="7" width="12" customWidth="1"/>
    <col min="8" max="8" width="14" customWidth="1"/>
    <col min="9" max="9" width="52" customWidth="1"/>
    <col min="10" max="10" width="12" customWidth="1"/>
  </cols>
  <sheetData>
    <row r="1" spans="1:10" ht="36" customHeight="1" x14ac:dyDescent="0.45">
      <c r="A1" s="1" t="s">
        <v>478</v>
      </c>
      <c r="B1" s="1" t="s">
        <v>479</v>
      </c>
      <c r="C1" s="1" t="s">
        <v>480</v>
      </c>
      <c r="D1" s="1" t="s">
        <v>481</v>
      </c>
      <c r="E1" s="1" t="s">
        <v>482</v>
      </c>
      <c r="F1" s="1" t="s">
        <v>483</v>
      </c>
      <c r="G1" s="1" t="s">
        <v>484</v>
      </c>
      <c r="H1" s="1" t="s">
        <v>485</v>
      </c>
      <c r="I1" s="1" t="s">
        <v>486</v>
      </c>
      <c r="J1" s="1" t="s">
        <v>487</v>
      </c>
    </row>
    <row r="2" spans="1:10" x14ac:dyDescent="0.45">
      <c r="A2" s="2" t="s">
        <v>488</v>
      </c>
      <c r="B2" s="2" t="s">
        <v>489</v>
      </c>
      <c r="C2" s="2" t="s">
        <v>773</v>
      </c>
      <c r="D2" s="2" t="s">
        <v>491</v>
      </c>
      <c r="E2" s="3">
        <v>4000</v>
      </c>
      <c r="F2" s="3">
        <v>5200</v>
      </c>
      <c r="G2" s="3">
        <v>6400</v>
      </c>
      <c r="H2" s="2" t="s">
        <v>17</v>
      </c>
      <c r="I2" s="2" t="s">
        <v>774</v>
      </c>
      <c r="J2" s="2" t="s">
        <v>493</v>
      </c>
    </row>
    <row r="3" spans="1:10" x14ac:dyDescent="0.45">
      <c r="A3" s="4" t="s">
        <v>494</v>
      </c>
      <c r="B3" s="4" t="s">
        <v>495</v>
      </c>
      <c r="C3" s="4" t="s">
        <v>775</v>
      </c>
      <c r="D3" s="4" t="s">
        <v>491</v>
      </c>
      <c r="E3" s="5">
        <v>200</v>
      </c>
      <c r="F3" s="5">
        <v>360</v>
      </c>
      <c r="G3" s="5">
        <v>560</v>
      </c>
      <c r="H3" s="4" t="s">
        <v>42</v>
      </c>
      <c r="I3" s="4" t="s">
        <v>497</v>
      </c>
      <c r="J3" s="4" t="s">
        <v>493</v>
      </c>
    </row>
    <row r="4" spans="1:10" x14ac:dyDescent="0.45">
      <c r="A4" s="2" t="s">
        <v>776</v>
      </c>
      <c r="B4" s="2" t="s">
        <v>777</v>
      </c>
      <c r="C4" s="2" t="s">
        <v>778</v>
      </c>
      <c r="D4" s="2" t="s">
        <v>491</v>
      </c>
      <c r="E4" s="3">
        <v>280</v>
      </c>
      <c r="F4" s="3">
        <v>380</v>
      </c>
      <c r="G4" s="3">
        <v>480</v>
      </c>
      <c r="H4" s="2" t="s">
        <v>21</v>
      </c>
      <c r="I4" s="2" t="s">
        <v>779</v>
      </c>
      <c r="J4" s="2" t="s">
        <v>780</v>
      </c>
    </row>
    <row r="5" spans="1:10" x14ac:dyDescent="0.45">
      <c r="A5" s="4" t="s">
        <v>776</v>
      </c>
      <c r="B5" s="4" t="s">
        <v>781</v>
      </c>
      <c r="C5" s="4" t="s">
        <v>778</v>
      </c>
      <c r="D5" s="4" t="s">
        <v>491</v>
      </c>
      <c r="E5" s="5">
        <v>280</v>
      </c>
      <c r="F5" s="5">
        <v>380</v>
      </c>
      <c r="G5" s="5">
        <v>480</v>
      </c>
      <c r="H5" s="4" t="s">
        <v>21</v>
      </c>
      <c r="I5" s="4" t="s">
        <v>779</v>
      </c>
      <c r="J5" s="4" t="s">
        <v>780</v>
      </c>
    </row>
    <row r="6" spans="1:10" x14ac:dyDescent="0.45">
      <c r="A6" s="2" t="s">
        <v>498</v>
      </c>
      <c r="B6" s="2" t="s">
        <v>782</v>
      </c>
      <c r="C6" s="2" t="s">
        <v>512</v>
      </c>
      <c r="D6" s="2" t="s">
        <v>783</v>
      </c>
      <c r="E6" s="3">
        <v>900</v>
      </c>
      <c r="F6" s="3">
        <v>1150</v>
      </c>
      <c r="G6" s="3">
        <v>1400</v>
      </c>
      <c r="H6" s="2" t="s">
        <v>17</v>
      </c>
      <c r="I6" s="2" t="s">
        <v>784</v>
      </c>
      <c r="J6" s="2" t="s">
        <v>785</v>
      </c>
    </row>
    <row r="7" spans="1:10" ht="26.25" x14ac:dyDescent="0.45">
      <c r="A7" s="4" t="s">
        <v>498</v>
      </c>
      <c r="B7" s="4" t="s">
        <v>786</v>
      </c>
      <c r="C7" s="4" t="s">
        <v>787</v>
      </c>
      <c r="D7" s="4" t="s">
        <v>506</v>
      </c>
      <c r="E7" s="5">
        <v>450</v>
      </c>
      <c r="F7" s="5">
        <v>660</v>
      </c>
      <c r="G7" s="5">
        <v>780</v>
      </c>
      <c r="H7" s="4" t="s">
        <v>17</v>
      </c>
      <c r="I7" s="4" t="s">
        <v>788</v>
      </c>
      <c r="J7" s="4" t="s">
        <v>785</v>
      </c>
    </row>
    <row r="8" spans="1:10" x14ac:dyDescent="0.45">
      <c r="A8" s="2" t="s">
        <v>498</v>
      </c>
      <c r="B8" s="2" t="s">
        <v>789</v>
      </c>
      <c r="C8" s="2" t="s">
        <v>790</v>
      </c>
      <c r="D8" s="2" t="s">
        <v>513</v>
      </c>
      <c r="E8" s="3">
        <v>150</v>
      </c>
      <c r="F8" s="3">
        <v>200</v>
      </c>
      <c r="G8" s="3">
        <v>280</v>
      </c>
      <c r="H8" s="2" t="s">
        <v>17</v>
      </c>
      <c r="I8" s="2" t="s">
        <v>791</v>
      </c>
      <c r="J8" s="2" t="s">
        <v>785</v>
      </c>
    </row>
    <row r="9" spans="1:10" ht="26.25" x14ac:dyDescent="0.45">
      <c r="A9" s="4" t="s">
        <v>792</v>
      </c>
      <c r="B9" s="4" t="s">
        <v>793</v>
      </c>
      <c r="C9" s="4" t="s">
        <v>794</v>
      </c>
      <c r="D9" s="4" t="s">
        <v>795</v>
      </c>
      <c r="E9" s="5">
        <v>450</v>
      </c>
      <c r="F9" s="5">
        <v>580</v>
      </c>
      <c r="G9" s="5">
        <v>765</v>
      </c>
      <c r="H9" s="4" t="s">
        <v>17</v>
      </c>
      <c r="I9" s="4" t="s">
        <v>796</v>
      </c>
      <c r="J9" s="4" t="s">
        <v>797</v>
      </c>
    </row>
    <row r="10" spans="1:10" ht="26.25" x14ac:dyDescent="0.45">
      <c r="A10" s="2" t="s">
        <v>798</v>
      </c>
      <c r="B10" s="2" t="s">
        <v>799</v>
      </c>
      <c r="C10" s="2" t="s">
        <v>534</v>
      </c>
      <c r="D10" s="2" t="s">
        <v>535</v>
      </c>
      <c r="E10" s="3">
        <v>150</v>
      </c>
      <c r="F10" s="3">
        <v>200</v>
      </c>
      <c r="G10" s="3">
        <v>300</v>
      </c>
      <c r="H10" s="2" t="s">
        <v>42</v>
      </c>
      <c r="I10" s="2" t="s">
        <v>800</v>
      </c>
      <c r="J10" s="2" t="s">
        <v>797</v>
      </c>
    </row>
    <row r="11" spans="1:10" x14ac:dyDescent="0.45">
      <c r="A11" s="4" t="s">
        <v>537</v>
      </c>
      <c r="B11" s="4" t="s">
        <v>801</v>
      </c>
      <c r="C11" s="4" t="s">
        <v>802</v>
      </c>
      <c r="D11" s="4" t="s">
        <v>491</v>
      </c>
      <c r="E11" s="5">
        <v>50</v>
      </c>
      <c r="F11" s="5">
        <v>55</v>
      </c>
      <c r="G11" s="5">
        <v>55</v>
      </c>
      <c r="H11" s="4" t="s">
        <v>21</v>
      </c>
      <c r="I11" s="4" t="s">
        <v>803</v>
      </c>
      <c r="J11" s="4" t="s">
        <v>804</v>
      </c>
    </row>
    <row r="12" spans="1:10" x14ac:dyDescent="0.45">
      <c r="A12" s="2" t="s">
        <v>537</v>
      </c>
      <c r="B12" s="2" t="s">
        <v>805</v>
      </c>
      <c r="C12" s="2" t="s">
        <v>802</v>
      </c>
      <c r="D12" s="2" t="s">
        <v>491</v>
      </c>
      <c r="E12" s="3">
        <v>50</v>
      </c>
      <c r="F12" s="3">
        <v>55</v>
      </c>
      <c r="G12" s="3">
        <v>55</v>
      </c>
      <c r="H12" s="2" t="s">
        <v>21</v>
      </c>
      <c r="I12" s="2" t="s">
        <v>806</v>
      </c>
      <c r="J12" s="2" t="s">
        <v>804</v>
      </c>
    </row>
    <row r="13" spans="1:10" x14ac:dyDescent="0.45">
      <c r="A13" s="4" t="s">
        <v>537</v>
      </c>
      <c r="B13" s="4" t="s">
        <v>807</v>
      </c>
      <c r="C13" s="4" t="s">
        <v>539</v>
      </c>
      <c r="D13" s="4" t="s">
        <v>491</v>
      </c>
      <c r="E13" s="5">
        <v>120</v>
      </c>
      <c r="F13" s="5">
        <v>170</v>
      </c>
      <c r="G13" s="5">
        <v>170</v>
      </c>
      <c r="H13" s="4" t="s">
        <v>21</v>
      </c>
      <c r="I13" s="4" t="s">
        <v>808</v>
      </c>
      <c r="J13" s="4" t="s">
        <v>804</v>
      </c>
    </row>
    <row r="14" spans="1:10" x14ac:dyDescent="0.45">
      <c r="A14" s="2" t="s">
        <v>537</v>
      </c>
      <c r="B14" s="2" t="s">
        <v>809</v>
      </c>
      <c r="C14" s="2" t="s">
        <v>810</v>
      </c>
      <c r="D14" s="2" t="s">
        <v>491</v>
      </c>
      <c r="E14" s="3">
        <v>70</v>
      </c>
      <c r="F14" s="3">
        <v>105</v>
      </c>
      <c r="G14" s="3">
        <v>140</v>
      </c>
      <c r="H14" s="2" t="s">
        <v>21</v>
      </c>
      <c r="I14" s="2" t="s">
        <v>811</v>
      </c>
      <c r="J14" s="2" t="s">
        <v>804</v>
      </c>
    </row>
    <row r="15" spans="1:10" x14ac:dyDescent="0.45">
      <c r="A15" s="4" t="s">
        <v>537</v>
      </c>
      <c r="B15" s="4" t="s">
        <v>812</v>
      </c>
      <c r="C15" s="4" t="s">
        <v>813</v>
      </c>
      <c r="D15" s="4" t="s">
        <v>491</v>
      </c>
      <c r="E15" s="5">
        <v>10</v>
      </c>
      <c r="F15" s="5">
        <v>10</v>
      </c>
      <c r="G15" s="5">
        <v>10</v>
      </c>
      <c r="H15" s="4" t="s">
        <v>21</v>
      </c>
      <c r="I15" s="4" t="s">
        <v>814</v>
      </c>
      <c r="J15" s="4" t="s">
        <v>804</v>
      </c>
    </row>
    <row r="16" spans="1:10" x14ac:dyDescent="0.45">
      <c r="A16" s="2" t="s">
        <v>537</v>
      </c>
      <c r="B16" s="2" t="s">
        <v>815</v>
      </c>
      <c r="C16" s="2" t="s">
        <v>816</v>
      </c>
      <c r="D16" s="2" t="s">
        <v>491</v>
      </c>
      <c r="E16" s="3">
        <v>70</v>
      </c>
      <c r="F16" s="3">
        <v>100</v>
      </c>
      <c r="G16" s="3">
        <v>140</v>
      </c>
      <c r="H16" s="2" t="s">
        <v>17</v>
      </c>
      <c r="I16" s="2" t="s">
        <v>817</v>
      </c>
      <c r="J16" s="2" t="s">
        <v>804</v>
      </c>
    </row>
    <row r="17" spans="1:10" x14ac:dyDescent="0.45">
      <c r="A17" s="4" t="s">
        <v>746</v>
      </c>
      <c r="B17" s="4" t="s">
        <v>818</v>
      </c>
      <c r="C17" s="4" t="s">
        <v>819</v>
      </c>
      <c r="D17" s="4" t="s">
        <v>491</v>
      </c>
      <c r="E17" s="5">
        <v>0</v>
      </c>
      <c r="F17" s="5">
        <v>80</v>
      </c>
      <c r="G17" s="5">
        <v>130</v>
      </c>
      <c r="H17" s="4" t="s">
        <v>42</v>
      </c>
      <c r="I17" s="4" t="s">
        <v>820</v>
      </c>
      <c r="J17" s="4" t="s">
        <v>535</v>
      </c>
    </row>
    <row r="18" spans="1:10" ht="26.25" x14ac:dyDescent="0.45">
      <c r="A18" s="2" t="s">
        <v>537</v>
      </c>
      <c r="B18" s="2" t="s">
        <v>821</v>
      </c>
      <c r="C18" s="2" t="s">
        <v>534</v>
      </c>
      <c r="D18" s="2" t="s">
        <v>535</v>
      </c>
      <c r="E18" s="3">
        <v>50</v>
      </c>
      <c r="F18" s="3">
        <v>120</v>
      </c>
      <c r="G18" s="3">
        <v>220</v>
      </c>
      <c r="H18" s="2" t="s">
        <v>42</v>
      </c>
      <c r="I18" s="2" t="s">
        <v>534</v>
      </c>
      <c r="J18" s="2" t="s">
        <v>535</v>
      </c>
    </row>
    <row r="19" spans="1:10" ht="26.25" x14ac:dyDescent="0.45">
      <c r="A19" s="4" t="s">
        <v>559</v>
      </c>
      <c r="B19" s="4" t="s">
        <v>560</v>
      </c>
      <c r="C19" s="4" t="s">
        <v>561</v>
      </c>
      <c r="D19" s="4" t="s">
        <v>562</v>
      </c>
      <c r="E19" s="5">
        <v>1800</v>
      </c>
      <c r="F19" s="5">
        <v>2880</v>
      </c>
      <c r="G19" s="5">
        <v>4320</v>
      </c>
      <c r="H19" s="4" t="s">
        <v>17</v>
      </c>
      <c r="I19" s="4" t="s">
        <v>822</v>
      </c>
      <c r="J19" s="4" t="s">
        <v>823</v>
      </c>
    </row>
    <row r="20" spans="1:10" x14ac:dyDescent="0.45">
      <c r="A20" s="2" t="s">
        <v>565</v>
      </c>
      <c r="B20" s="2" t="s">
        <v>824</v>
      </c>
      <c r="C20" s="2" t="s">
        <v>567</v>
      </c>
      <c r="D20" s="2" t="s">
        <v>491</v>
      </c>
      <c r="E20" s="3">
        <v>200</v>
      </c>
      <c r="F20" s="3">
        <v>320</v>
      </c>
      <c r="G20" s="3">
        <v>500</v>
      </c>
      <c r="H20" s="2" t="s">
        <v>17</v>
      </c>
      <c r="I20" s="2" t="s">
        <v>825</v>
      </c>
      <c r="J20" s="2" t="s">
        <v>535</v>
      </c>
    </row>
    <row r="21" spans="1:10" x14ac:dyDescent="0.45">
      <c r="A21" s="6" t="s">
        <v>569</v>
      </c>
      <c r="B21" s="6"/>
      <c r="C21" s="6"/>
      <c r="D21" s="6"/>
      <c r="E21" s="7">
        <f>SUM(E2:E20)</f>
        <v>9280</v>
      </c>
      <c r="F21" s="7">
        <f>SUM(F2:F20)</f>
        <v>13005</v>
      </c>
      <c r="G21" s="7">
        <f>SUM(G2:G20)</f>
        <v>17185</v>
      </c>
      <c r="H21" s="6"/>
      <c r="I21" s="6"/>
      <c r="J21" s="6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36" customWidth="1"/>
    <col min="2" max="5" width="20" customWidth="1"/>
    <col min="6" max="7" width="24" customWidth="1"/>
  </cols>
  <sheetData>
    <row r="1" spans="1:7" ht="36" customHeight="1" x14ac:dyDescent="0.45">
      <c r="A1" s="1" t="s">
        <v>826</v>
      </c>
      <c r="B1" s="1" t="s">
        <v>15</v>
      </c>
      <c r="C1" s="1" t="s">
        <v>24</v>
      </c>
      <c r="D1" s="1" t="s">
        <v>827</v>
      </c>
      <c r="E1" s="1" t="s">
        <v>828</v>
      </c>
      <c r="F1" s="1" t="s">
        <v>829</v>
      </c>
      <c r="G1" s="1" t="s">
        <v>830</v>
      </c>
    </row>
    <row r="2" spans="1:7" x14ac:dyDescent="0.45">
      <c r="A2" s="2" t="s">
        <v>831</v>
      </c>
      <c r="B2" s="3">
        <f>SUM(Greece_Costs!F2:F3)</f>
        <v>5560</v>
      </c>
      <c r="C2" s="3">
        <f>SUM(Greece2_Costs!F2:F5)</f>
        <v>6320</v>
      </c>
      <c r="D2" s="3">
        <f>SUM(Bavaria_Costs!F2:F3)</f>
        <v>5100</v>
      </c>
      <c r="E2" s="3">
        <f>SUM(Bavaria2_Costs!F2:F3)</f>
        <v>5100</v>
      </c>
      <c r="F2" s="3">
        <f>SUM(StLucia_Costs!F2:F3)</f>
        <v>3240</v>
      </c>
      <c r="G2" s="3">
        <f>SUM(StLucia_Costs!F2:F3)</f>
        <v>3240</v>
      </c>
    </row>
    <row r="3" spans="1:7" x14ac:dyDescent="0.45">
      <c r="A3" s="4" t="s">
        <v>498</v>
      </c>
      <c r="B3" s="5">
        <f>SUM(Greece_Costs!F4:F7)</f>
        <v>2930</v>
      </c>
      <c r="C3" s="5">
        <f>SUM(Greece2_Costs!F6:F8)</f>
        <v>2010</v>
      </c>
      <c r="D3" s="5">
        <f>SUM(Bavaria_Costs!F4:F7)</f>
        <v>2720</v>
      </c>
      <c r="E3" s="5">
        <f>SUM(Bavaria2_Costs!F4:F6)</f>
        <v>2885</v>
      </c>
      <c r="F3" s="5">
        <f>StLucia_Costs!F4</f>
        <v>7800</v>
      </c>
      <c r="G3" s="5">
        <f>SUM(StLucia_Costs!F5:F6)</f>
        <v>3440</v>
      </c>
    </row>
    <row r="4" spans="1:7" x14ac:dyDescent="0.45">
      <c r="A4" s="2" t="s">
        <v>832</v>
      </c>
      <c r="B4" s="3">
        <f>SUM(Greece_Costs!F8:F12)</f>
        <v>1462</v>
      </c>
      <c r="C4" s="3">
        <f>SUM(Greece2_Costs!F9:F10)</f>
        <v>780</v>
      </c>
      <c r="D4" s="3">
        <f>SUM(Bavaria_Costs!F8:F12)</f>
        <v>601</v>
      </c>
      <c r="E4" s="3">
        <f>SUM(Bavaria2_Costs!F7:F12)</f>
        <v>586</v>
      </c>
      <c r="F4" s="3">
        <f>SUM(StLucia_Costs!F7:F8)</f>
        <v>120</v>
      </c>
      <c r="G4" s="3">
        <f>SUM(StLucia_Costs!F9:F12)</f>
        <v>640</v>
      </c>
    </row>
    <row r="5" spans="1:7" x14ac:dyDescent="0.45">
      <c r="A5" s="4" t="s">
        <v>537</v>
      </c>
      <c r="B5" s="5">
        <f>SUM(Greece_Costs!F13:F20)</f>
        <v>1359</v>
      </c>
      <c r="C5" s="5">
        <f>SUM(Greece2_Costs!F11:F18)</f>
        <v>695</v>
      </c>
      <c r="D5" s="5">
        <f>SUM(Bavaria_Costs!F13:F25)</f>
        <v>884</v>
      </c>
      <c r="E5" s="5">
        <f>SUM(Bavaria2_Costs!F13:F24)</f>
        <v>1098</v>
      </c>
      <c r="F5" s="5">
        <f>SUM(StLucia_Costs!F13:F21)</f>
        <v>1569</v>
      </c>
      <c r="G5" s="5">
        <f>SUM(StLucia_Costs!F13:F21)</f>
        <v>1569</v>
      </c>
    </row>
    <row r="6" spans="1:7" x14ac:dyDescent="0.45">
      <c r="A6" s="2" t="s">
        <v>559</v>
      </c>
      <c r="B6" s="3">
        <f>Greece_Costs!F21</f>
        <v>2880</v>
      </c>
      <c r="C6" s="3">
        <f>Greece2_Costs!F19</f>
        <v>2880</v>
      </c>
      <c r="D6" s="3">
        <f>Bavaria_Costs!F26</f>
        <v>2340</v>
      </c>
      <c r="E6" s="3">
        <f>Bavaria2_Costs!F25</f>
        <v>2340</v>
      </c>
      <c r="F6" s="3">
        <f>StLucia_Costs!F22</f>
        <v>300</v>
      </c>
      <c r="G6" s="3">
        <f>StLucia_Costs!F23</f>
        <v>3000</v>
      </c>
    </row>
    <row r="7" spans="1:7" x14ac:dyDescent="0.45">
      <c r="A7" s="4" t="s">
        <v>833</v>
      </c>
      <c r="B7" s="5">
        <f>Greece_Costs!F22</f>
        <v>320</v>
      </c>
      <c r="C7" s="5">
        <f>Greece2_Costs!F20</f>
        <v>320</v>
      </c>
      <c r="D7" s="5">
        <f>Bavaria_Costs!F27</f>
        <v>300</v>
      </c>
      <c r="E7" s="5">
        <f>Bavaria2_Costs!F26</f>
        <v>300</v>
      </c>
      <c r="F7" s="5">
        <f>SUM(StLucia_Costs!F24:F25)</f>
        <v>650</v>
      </c>
      <c r="G7" s="5">
        <f>SUM(StLucia_Costs!F24:F25)</f>
        <v>650</v>
      </c>
    </row>
    <row r="8" spans="1:7" x14ac:dyDescent="0.45">
      <c r="A8" s="6" t="s">
        <v>834</v>
      </c>
      <c r="B8" s="7">
        <f t="shared" ref="B8:G8" si="0">SUM(B2:B7)</f>
        <v>14511</v>
      </c>
      <c r="C8" s="7">
        <f t="shared" si="0"/>
        <v>13005</v>
      </c>
      <c r="D8" s="7">
        <f t="shared" si="0"/>
        <v>11945</v>
      </c>
      <c r="E8" s="7">
        <f t="shared" si="0"/>
        <v>12309</v>
      </c>
      <c r="F8" s="7">
        <f t="shared" si="0"/>
        <v>13679</v>
      </c>
      <c r="G8" s="7">
        <f t="shared" si="0"/>
        <v>12539</v>
      </c>
    </row>
    <row r="9" spans="1:7" x14ac:dyDescent="0.45">
      <c r="A9" s="4" t="s">
        <v>835</v>
      </c>
      <c r="B9" s="4">
        <f>Summary!C2</f>
        <v>9</v>
      </c>
      <c r="C9" s="4">
        <f>Summary!C3</f>
        <v>9</v>
      </c>
      <c r="D9" s="4">
        <f>Summary!C4</f>
        <v>9</v>
      </c>
      <c r="E9" s="4">
        <f>Summary!C5</f>
        <v>9</v>
      </c>
      <c r="F9" s="4">
        <f>Summary!C6</f>
        <v>10</v>
      </c>
      <c r="G9" s="4">
        <f>Summary!C7</f>
        <v>10</v>
      </c>
    </row>
    <row r="10" spans="1:7" x14ac:dyDescent="0.45">
      <c r="A10" s="2" t="s">
        <v>836</v>
      </c>
      <c r="B10" s="3">
        <f t="shared" ref="B10:G10" si="1">B8/B9</f>
        <v>1612.3333333333333</v>
      </c>
      <c r="C10" s="3">
        <f t="shared" si="1"/>
        <v>1445</v>
      </c>
      <c r="D10" s="3">
        <f t="shared" si="1"/>
        <v>1327.2222222222222</v>
      </c>
      <c r="E10" s="3">
        <f t="shared" si="1"/>
        <v>1367.6666666666667</v>
      </c>
      <c r="F10" s="3">
        <f t="shared" si="1"/>
        <v>1367.9</v>
      </c>
      <c r="G10" s="3">
        <f t="shared" si="1"/>
        <v>1253.9000000000001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4" customWidth="1"/>
    <col min="3" max="3" width="16" customWidth="1"/>
    <col min="4" max="4" width="34" customWidth="1"/>
    <col min="5" max="5" width="32" customWidth="1"/>
    <col min="6" max="6" width="46" customWidth="1"/>
    <col min="7" max="7" width="12" customWidth="1"/>
    <col min="8" max="8" width="44" customWidth="1"/>
  </cols>
  <sheetData>
    <row r="1" spans="1:8" ht="36" customHeight="1" x14ac:dyDescent="0.45">
      <c r="A1" s="1" t="s">
        <v>837</v>
      </c>
      <c r="B1" s="1" t="s">
        <v>838</v>
      </c>
      <c r="C1" s="1" t="s">
        <v>478</v>
      </c>
      <c r="D1" s="1" t="s">
        <v>839</v>
      </c>
      <c r="E1" s="1" t="s">
        <v>840</v>
      </c>
      <c r="F1" s="1" t="s">
        <v>841</v>
      </c>
      <c r="G1" s="1" t="s">
        <v>842</v>
      </c>
      <c r="H1" s="1" t="s">
        <v>64</v>
      </c>
    </row>
    <row r="2" spans="1:8" x14ac:dyDescent="0.45">
      <c r="A2" s="2" t="s">
        <v>493</v>
      </c>
      <c r="B2" s="2" t="s">
        <v>843</v>
      </c>
      <c r="C2" s="2" t="s">
        <v>488</v>
      </c>
      <c r="D2" s="2" t="s">
        <v>844</v>
      </c>
      <c r="E2" s="2" t="s">
        <v>845</v>
      </c>
      <c r="F2" s="2" t="s">
        <v>846</v>
      </c>
      <c r="G2" s="2" t="s">
        <v>21</v>
      </c>
      <c r="H2" s="2" t="s">
        <v>847</v>
      </c>
    </row>
    <row r="3" spans="1:8" x14ac:dyDescent="0.45">
      <c r="A3" s="4" t="s">
        <v>493</v>
      </c>
      <c r="B3" s="4" t="s">
        <v>843</v>
      </c>
      <c r="C3" s="4" t="s">
        <v>488</v>
      </c>
      <c r="D3" s="4" t="s">
        <v>848</v>
      </c>
      <c r="E3" s="4" t="s">
        <v>849</v>
      </c>
      <c r="F3" s="4" t="s">
        <v>850</v>
      </c>
      <c r="G3" s="4" t="s">
        <v>21</v>
      </c>
      <c r="H3" s="4"/>
    </row>
    <row r="4" spans="1:8" x14ac:dyDescent="0.45">
      <c r="A4" s="2" t="s">
        <v>493</v>
      </c>
      <c r="B4" s="2" t="s">
        <v>843</v>
      </c>
      <c r="C4" s="2" t="s">
        <v>488</v>
      </c>
      <c r="D4" s="2" t="s">
        <v>851</v>
      </c>
      <c r="E4" s="2" t="s">
        <v>852</v>
      </c>
      <c r="F4" s="2" t="s">
        <v>853</v>
      </c>
      <c r="G4" s="2" t="s">
        <v>17</v>
      </c>
      <c r="H4" s="2" t="s">
        <v>854</v>
      </c>
    </row>
    <row r="5" spans="1:8" ht="26.25" x14ac:dyDescent="0.45">
      <c r="A5" s="4" t="s">
        <v>541</v>
      </c>
      <c r="B5" s="4" t="s">
        <v>843</v>
      </c>
      <c r="C5" s="4" t="s">
        <v>855</v>
      </c>
      <c r="D5" s="4" t="s">
        <v>803</v>
      </c>
      <c r="E5" s="4" t="s">
        <v>856</v>
      </c>
      <c r="F5" s="4" t="s">
        <v>857</v>
      </c>
      <c r="G5" s="4" t="s">
        <v>21</v>
      </c>
      <c r="H5" s="4" t="s">
        <v>858</v>
      </c>
    </row>
    <row r="6" spans="1:8" x14ac:dyDescent="0.45">
      <c r="A6" s="2" t="s">
        <v>541</v>
      </c>
      <c r="B6" s="2" t="s">
        <v>843</v>
      </c>
      <c r="C6" s="2" t="s">
        <v>855</v>
      </c>
      <c r="D6" s="2" t="s">
        <v>859</v>
      </c>
      <c r="E6" s="2" t="s">
        <v>860</v>
      </c>
      <c r="F6" s="2" t="s">
        <v>861</v>
      </c>
      <c r="G6" s="2" t="s">
        <v>21</v>
      </c>
      <c r="H6" s="2"/>
    </row>
    <row r="7" spans="1:8" ht="26.25" x14ac:dyDescent="0.45">
      <c r="A7" s="4" t="s">
        <v>519</v>
      </c>
      <c r="B7" s="4" t="s">
        <v>843</v>
      </c>
      <c r="C7" s="4" t="s">
        <v>515</v>
      </c>
      <c r="D7" s="4" t="s">
        <v>862</v>
      </c>
      <c r="E7" s="4" t="s">
        <v>863</v>
      </c>
      <c r="F7" s="4" t="s">
        <v>864</v>
      </c>
      <c r="G7" s="4" t="s">
        <v>21</v>
      </c>
      <c r="H7" s="4" t="s">
        <v>865</v>
      </c>
    </row>
    <row r="8" spans="1:8" x14ac:dyDescent="0.45">
      <c r="A8" s="2" t="s">
        <v>519</v>
      </c>
      <c r="B8" s="2" t="s">
        <v>843</v>
      </c>
      <c r="C8" s="2" t="s">
        <v>515</v>
      </c>
      <c r="D8" s="2" t="s">
        <v>129</v>
      </c>
      <c r="E8" s="2" t="s">
        <v>866</v>
      </c>
      <c r="F8" s="2" t="s">
        <v>867</v>
      </c>
      <c r="G8" s="2" t="s">
        <v>21</v>
      </c>
      <c r="H8" s="2" t="s">
        <v>868</v>
      </c>
    </row>
    <row r="9" spans="1:8" x14ac:dyDescent="0.45">
      <c r="A9" s="4" t="s">
        <v>519</v>
      </c>
      <c r="B9" s="4" t="s">
        <v>843</v>
      </c>
      <c r="C9" s="4" t="s">
        <v>515</v>
      </c>
      <c r="D9" s="4" t="s">
        <v>869</v>
      </c>
      <c r="E9" s="4" t="s">
        <v>870</v>
      </c>
      <c r="F9" s="4" t="s">
        <v>871</v>
      </c>
      <c r="G9" s="4" t="s">
        <v>18</v>
      </c>
      <c r="H9" s="4" t="s">
        <v>872</v>
      </c>
    </row>
    <row r="10" spans="1:8" x14ac:dyDescent="0.45">
      <c r="A10" s="2" t="s">
        <v>527</v>
      </c>
      <c r="B10" s="2" t="s">
        <v>843</v>
      </c>
      <c r="C10" s="2" t="s">
        <v>873</v>
      </c>
      <c r="D10" s="2" t="s">
        <v>874</v>
      </c>
      <c r="E10" s="2" t="s">
        <v>875</v>
      </c>
      <c r="F10" s="2" t="s">
        <v>876</v>
      </c>
      <c r="G10" s="2" t="s">
        <v>21</v>
      </c>
      <c r="H10" s="2" t="s">
        <v>877</v>
      </c>
    </row>
    <row r="11" spans="1:8" ht="26.25" x14ac:dyDescent="0.45">
      <c r="A11" s="4" t="s">
        <v>503</v>
      </c>
      <c r="B11" s="4" t="s">
        <v>843</v>
      </c>
      <c r="C11" s="4" t="s">
        <v>498</v>
      </c>
      <c r="D11" s="4" t="s">
        <v>878</v>
      </c>
      <c r="E11" s="4" t="s">
        <v>879</v>
      </c>
      <c r="F11" s="4" t="s">
        <v>880</v>
      </c>
      <c r="G11" s="4" t="s">
        <v>17</v>
      </c>
      <c r="H11" s="4" t="s">
        <v>881</v>
      </c>
    </row>
    <row r="12" spans="1:8" x14ac:dyDescent="0.45">
      <c r="A12" s="2" t="s">
        <v>532</v>
      </c>
      <c r="B12" s="2" t="s">
        <v>843</v>
      </c>
      <c r="C12" s="2" t="s">
        <v>528</v>
      </c>
      <c r="D12" s="2" t="s">
        <v>882</v>
      </c>
      <c r="E12" s="2" t="s">
        <v>883</v>
      </c>
      <c r="F12" s="2" t="s">
        <v>884</v>
      </c>
      <c r="G12" s="2" t="s">
        <v>21</v>
      </c>
      <c r="H12" s="2"/>
    </row>
    <row r="13" spans="1:8" x14ac:dyDescent="0.45">
      <c r="A13" s="4" t="s">
        <v>564</v>
      </c>
      <c r="B13" s="4" t="s">
        <v>843</v>
      </c>
      <c r="C13" s="4" t="s">
        <v>885</v>
      </c>
      <c r="D13" s="4" t="s">
        <v>886</v>
      </c>
      <c r="E13" s="4" t="s">
        <v>887</v>
      </c>
      <c r="F13" s="4" t="s">
        <v>888</v>
      </c>
      <c r="G13" s="4" t="s">
        <v>17</v>
      </c>
      <c r="H13" s="4" t="s">
        <v>889</v>
      </c>
    </row>
    <row r="14" spans="1:8" ht="26.25" x14ac:dyDescent="0.45">
      <c r="A14" s="2" t="s">
        <v>780</v>
      </c>
      <c r="B14" s="2" t="s">
        <v>890</v>
      </c>
      <c r="C14" s="2" t="s">
        <v>873</v>
      </c>
      <c r="D14" s="2" t="s">
        <v>891</v>
      </c>
      <c r="E14" s="2" t="s">
        <v>875</v>
      </c>
      <c r="F14" s="2" t="s">
        <v>892</v>
      </c>
      <c r="G14" s="2" t="s">
        <v>21</v>
      </c>
      <c r="H14" s="2" t="s">
        <v>893</v>
      </c>
    </row>
    <row r="15" spans="1:8" ht="26.25" x14ac:dyDescent="0.45">
      <c r="A15" s="4" t="s">
        <v>785</v>
      </c>
      <c r="B15" s="4" t="s">
        <v>890</v>
      </c>
      <c r="C15" s="4" t="s">
        <v>498</v>
      </c>
      <c r="D15" s="4" t="s">
        <v>894</v>
      </c>
      <c r="E15" s="4" t="s">
        <v>879</v>
      </c>
      <c r="F15" s="4" t="s">
        <v>895</v>
      </c>
      <c r="G15" s="4" t="s">
        <v>17</v>
      </c>
      <c r="H15" s="4" t="s">
        <v>896</v>
      </c>
    </row>
    <row r="16" spans="1:8" ht="26.25" x14ac:dyDescent="0.45">
      <c r="A16" s="2" t="s">
        <v>797</v>
      </c>
      <c r="B16" s="2" t="s">
        <v>890</v>
      </c>
      <c r="C16" s="2" t="s">
        <v>897</v>
      </c>
      <c r="D16" s="2" t="s">
        <v>898</v>
      </c>
      <c r="E16" s="2" t="s">
        <v>899</v>
      </c>
      <c r="F16" s="2" t="s">
        <v>900</v>
      </c>
      <c r="G16" s="2" t="s">
        <v>17</v>
      </c>
      <c r="H16" s="2" t="s">
        <v>901</v>
      </c>
    </row>
    <row r="17" spans="1:8" ht="26.25" x14ac:dyDescent="0.45">
      <c r="A17" s="4" t="s">
        <v>804</v>
      </c>
      <c r="B17" s="4" t="s">
        <v>890</v>
      </c>
      <c r="C17" s="4" t="s">
        <v>855</v>
      </c>
      <c r="D17" s="4" t="s">
        <v>902</v>
      </c>
      <c r="E17" s="4" t="s">
        <v>856</v>
      </c>
      <c r="F17" s="4" t="s">
        <v>903</v>
      </c>
      <c r="G17" s="4" t="s">
        <v>21</v>
      </c>
      <c r="H17" s="4" t="s">
        <v>904</v>
      </c>
    </row>
    <row r="18" spans="1:8" x14ac:dyDescent="0.45">
      <c r="A18" s="2" t="s">
        <v>804</v>
      </c>
      <c r="B18" s="2" t="s">
        <v>890</v>
      </c>
      <c r="C18" s="2" t="s">
        <v>855</v>
      </c>
      <c r="D18" s="2" t="s">
        <v>905</v>
      </c>
      <c r="E18" s="2" t="s">
        <v>856</v>
      </c>
      <c r="F18" s="2" t="s">
        <v>906</v>
      </c>
      <c r="G18" s="2" t="s">
        <v>21</v>
      </c>
      <c r="H18" s="2" t="s">
        <v>907</v>
      </c>
    </row>
    <row r="19" spans="1:8" ht="26.25" x14ac:dyDescent="0.45">
      <c r="A19" s="4" t="s">
        <v>804</v>
      </c>
      <c r="B19" s="4" t="s">
        <v>890</v>
      </c>
      <c r="C19" s="4" t="s">
        <v>855</v>
      </c>
      <c r="D19" s="4" t="s">
        <v>908</v>
      </c>
      <c r="E19" s="4" t="s">
        <v>909</v>
      </c>
      <c r="F19" s="4" t="s">
        <v>910</v>
      </c>
      <c r="G19" s="4" t="s">
        <v>21</v>
      </c>
      <c r="H19" s="4" t="s">
        <v>911</v>
      </c>
    </row>
    <row r="20" spans="1:8" ht="26.25" x14ac:dyDescent="0.45">
      <c r="A20" s="2" t="s">
        <v>804</v>
      </c>
      <c r="B20" s="2" t="s">
        <v>890</v>
      </c>
      <c r="C20" s="2" t="s">
        <v>855</v>
      </c>
      <c r="D20" s="2" t="s">
        <v>912</v>
      </c>
      <c r="E20" s="2" t="s">
        <v>913</v>
      </c>
      <c r="F20" s="2" t="s">
        <v>914</v>
      </c>
      <c r="G20" s="2" t="s">
        <v>17</v>
      </c>
      <c r="H20" s="2" t="s">
        <v>915</v>
      </c>
    </row>
    <row r="21" spans="1:8" ht="26.25" x14ac:dyDescent="0.45">
      <c r="A21" s="4" t="s">
        <v>823</v>
      </c>
      <c r="B21" s="4" t="s">
        <v>890</v>
      </c>
      <c r="C21" s="4" t="s">
        <v>885</v>
      </c>
      <c r="D21" s="4" t="s">
        <v>916</v>
      </c>
      <c r="E21" s="4" t="s">
        <v>917</v>
      </c>
      <c r="F21" s="4" t="s">
        <v>918</v>
      </c>
      <c r="G21" s="4" t="s">
        <v>17</v>
      </c>
      <c r="H21" s="4" t="s">
        <v>919</v>
      </c>
    </row>
    <row r="22" spans="1:8" x14ac:dyDescent="0.45">
      <c r="A22" s="2" t="s">
        <v>573</v>
      </c>
      <c r="B22" s="2" t="s">
        <v>920</v>
      </c>
      <c r="C22" s="2" t="s">
        <v>488</v>
      </c>
      <c r="D22" s="2" t="s">
        <v>921</v>
      </c>
      <c r="E22" s="2" t="s">
        <v>849</v>
      </c>
      <c r="F22" s="2" t="s">
        <v>922</v>
      </c>
      <c r="G22" s="2" t="s">
        <v>21</v>
      </c>
      <c r="H22" s="2" t="s">
        <v>923</v>
      </c>
    </row>
    <row r="23" spans="1:8" x14ac:dyDescent="0.45">
      <c r="A23" s="4" t="s">
        <v>573</v>
      </c>
      <c r="B23" s="4" t="s">
        <v>920</v>
      </c>
      <c r="C23" s="4" t="s">
        <v>488</v>
      </c>
      <c r="D23" s="4" t="s">
        <v>924</v>
      </c>
      <c r="E23" s="4" t="s">
        <v>925</v>
      </c>
      <c r="F23" s="4" t="s">
        <v>926</v>
      </c>
      <c r="G23" s="4" t="s">
        <v>17</v>
      </c>
      <c r="H23" s="4" t="s">
        <v>927</v>
      </c>
    </row>
    <row r="24" spans="1:8" x14ac:dyDescent="0.45">
      <c r="A24" s="2" t="s">
        <v>593</v>
      </c>
      <c r="B24" s="2" t="s">
        <v>920</v>
      </c>
      <c r="C24" s="2" t="s">
        <v>588</v>
      </c>
      <c r="D24" s="2" t="s">
        <v>928</v>
      </c>
      <c r="E24" s="2" t="s">
        <v>929</v>
      </c>
      <c r="F24" s="2" t="s">
        <v>930</v>
      </c>
      <c r="G24" s="2" t="s">
        <v>21</v>
      </c>
      <c r="H24" s="2" t="s">
        <v>931</v>
      </c>
    </row>
    <row r="25" spans="1:8" ht="26.25" x14ac:dyDescent="0.45">
      <c r="A25" s="4" t="s">
        <v>593</v>
      </c>
      <c r="B25" s="4" t="s">
        <v>920</v>
      </c>
      <c r="C25" s="4" t="s">
        <v>588</v>
      </c>
      <c r="D25" s="4" t="s">
        <v>932</v>
      </c>
      <c r="E25" s="4" t="s">
        <v>933</v>
      </c>
      <c r="F25" s="4" t="s">
        <v>934</v>
      </c>
      <c r="G25" s="4" t="s">
        <v>21</v>
      </c>
      <c r="H25" s="4" t="s">
        <v>935</v>
      </c>
    </row>
    <row r="26" spans="1:8" ht="26.25" x14ac:dyDescent="0.45">
      <c r="A26" s="2" t="s">
        <v>613</v>
      </c>
      <c r="B26" s="2" t="s">
        <v>920</v>
      </c>
      <c r="C26" s="2" t="s">
        <v>855</v>
      </c>
      <c r="D26" s="2" t="s">
        <v>936</v>
      </c>
      <c r="E26" s="2" t="s">
        <v>937</v>
      </c>
      <c r="F26" s="2" t="s">
        <v>938</v>
      </c>
      <c r="G26" s="2" t="s">
        <v>21</v>
      </c>
      <c r="H26" s="2" t="s">
        <v>939</v>
      </c>
    </row>
    <row r="27" spans="1:8" x14ac:dyDescent="0.45">
      <c r="A27" s="4" t="s">
        <v>613</v>
      </c>
      <c r="B27" s="4" t="s">
        <v>920</v>
      </c>
      <c r="C27" s="4" t="s">
        <v>855</v>
      </c>
      <c r="D27" s="4" t="s">
        <v>940</v>
      </c>
      <c r="E27" s="4" t="s">
        <v>941</v>
      </c>
      <c r="F27" s="4" t="s">
        <v>942</v>
      </c>
      <c r="G27" s="4" t="s">
        <v>21</v>
      </c>
      <c r="H27" s="4" t="s">
        <v>943</v>
      </c>
    </row>
    <row r="28" spans="1:8" x14ac:dyDescent="0.45">
      <c r="A28" s="2" t="s">
        <v>613</v>
      </c>
      <c r="B28" s="2" t="s">
        <v>920</v>
      </c>
      <c r="C28" s="2" t="s">
        <v>855</v>
      </c>
      <c r="D28" s="2" t="s">
        <v>944</v>
      </c>
      <c r="E28" s="2" t="s">
        <v>945</v>
      </c>
      <c r="F28" s="2" t="s">
        <v>946</v>
      </c>
      <c r="G28" s="2" t="s">
        <v>21</v>
      </c>
      <c r="H28" s="2" t="s">
        <v>947</v>
      </c>
    </row>
    <row r="29" spans="1:8" x14ac:dyDescent="0.45">
      <c r="A29" s="4" t="s">
        <v>613</v>
      </c>
      <c r="B29" s="4" t="s">
        <v>920</v>
      </c>
      <c r="C29" s="4" t="s">
        <v>855</v>
      </c>
      <c r="D29" s="4" t="s">
        <v>948</v>
      </c>
      <c r="E29" s="4" t="s">
        <v>949</v>
      </c>
      <c r="F29" s="4" t="s">
        <v>950</v>
      </c>
      <c r="G29" s="4" t="s">
        <v>21</v>
      </c>
      <c r="H29" s="4" t="s">
        <v>951</v>
      </c>
    </row>
    <row r="30" spans="1:8" x14ac:dyDescent="0.45">
      <c r="A30" s="2" t="s">
        <v>613</v>
      </c>
      <c r="B30" s="2" t="s">
        <v>920</v>
      </c>
      <c r="C30" s="2" t="s">
        <v>855</v>
      </c>
      <c r="D30" s="2" t="s">
        <v>609</v>
      </c>
      <c r="E30" s="2" t="s">
        <v>952</v>
      </c>
      <c r="F30" s="2" t="s">
        <v>953</v>
      </c>
      <c r="G30" s="2" t="s">
        <v>21</v>
      </c>
      <c r="H30" s="2"/>
    </row>
    <row r="31" spans="1:8" x14ac:dyDescent="0.45">
      <c r="A31" s="4" t="s">
        <v>613</v>
      </c>
      <c r="B31" s="4" t="s">
        <v>920</v>
      </c>
      <c r="C31" s="4" t="s">
        <v>855</v>
      </c>
      <c r="D31" s="4" t="s">
        <v>954</v>
      </c>
      <c r="E31" s="4" t="s">
        <v>955</v>
      </c>
      <c r="F31" s="4" t="s">
        <v>956</v>
      </c>
      <c r="G31" s="4" t="s">
        <v>21</v>
      </c>
      <c r="H31" s="4"/>
    </row>
    <row r="32" spans="1:8" ht="26.25" x14ac:dyDescent="0.45">
      <c r="A32" s="2" t="s">
        <v>578</v>
      </c>
      <c r="B32" s="2" t="s">
        <v>920</v>
      </c>
      <c r="C32" s="2" t="s">
        <v>498</v>
      </c>
      <c r="D32" s="2" t="s">
        <v>957</v>
      </c>
      <c r="E32" s="2" t="s">
        <v>879</v>
      </c>
      <c r="F32" s="2" t="s">
        <v>958</v>
      </c>
      <c r="G32" s="2" t="s">
        <v>17</v>
      </c>
      <c r="H32" s="2" t="s">
        <v>959</v>
      </c>
    </row>
    <row r="33" spans="1:8" ht="26.25" x14ac:dyDescent="0.45">
      <c r="A33" s="4" t="s">
        <v>649</v>
      </c>
      <c r="B33" s="4" t="s">
        <v>920</v>
      </c>
      <c r="C33" s="4" t="s">
        <v>885</v>
      </c>
      <c r="D33" s="4" t="s">
        <v>960</v>
      </c>
      <c r="E33" s="4" t="s">
        <v>961</v>
      </c>
      <c r="F33" s="4" t="s">
        <v>962</v>
      </c>
      <c r="G33" s="4" t="s">
        <v>17</v>
      </c>
      <c r="H33" s="4" t="s">
        <v>963</v>
      </c>
    </row>
    <row r="34" spans="1:8" ht="26.25" x14ac:dyDescent="0.45">
      <c r="A34" s="2" t="s">
        <v>668</v>
      </c>
      <c r="B34" s="2" t="s">
        <v>964</v>
      </c>
      <c r="C34" s="2" t="s">
        <v>855</v>
      </c>
      <c r="D34" s="2" t="s">
        <v>965</v>
      </c>
      <c r="E34" s="2" t="s">
        <v>966</v>
      </c>
      <c r="F34" s="2" t="s">
        <v>967</v>
      </c>
      <c r="G34" s="2" t="s">
        <v>21</v>
      </c>
      <c r="H34" s="2" t="s">
        <v>968</v>
      </c>
    </row>
    <row r="35" spans="1:8" ht="26.25" x14ac:dyDescent="0.45">
      <c r="A35" s="4" t="s">
        <v>668</v>
      </c>
      <c r="B35" s="4" t="s">
        <v>964</v>
      </c>
      <c r="C35" s="4" t="s">
        <v>855</v>
      </c>
      <c r="D35" s="4" t="s">
        <v>969</v>
      </c>
      <c r="E35" s="4" t="s">
        <v>970</v>
      </c>
      <c r="F35" s="4" t="s">
        <v>971</v>
      </c>
      <c r="G35" s="4" t="s">
        <v>21</v>
      </c>
      <c r="H35" s="4" t="s">
        <v>972</v>
      </c>
    </row>
    <row r="36" spans="1:8" ht="26.25" x14ac:dyDescent="0.45">
      <c r="A36" s="2" t="s">
        <v>668</v>
      </c>
      <c r="B36" s="2" t="s">
        <v>964</v>
      </c>
      <c r="C36" s="2" t="s">
        <v>855</v>
      </c>
      <c r="D36" s="2" t="s">
        <v>973</v>
      </c>
      <c r="E36" s="2" t="s">
        <v>974</v>
      </c>
      <c r="F36" s="2" t="s">
        <v>975</v>
      </c>
      <c r="G36" s="2" t="s">
        <v>17</v>
      </c>
      <c r="H36" s="2" t="s">
        <v>976</v>
      </c>
    </row>
    <row r="37" spans="1:8" ht="26.25" x14ac:dyDescent="0.45">
      <c r="A37" s="4" t="s">
        <v>684</v>
      </c>
      <c r="B37" s="4" t="s">
        <v>977</v>
      </c>
      <c r="C37" s="4" t="s">
        <v>488</v>
      </c>
      <c r="D37" s="4" t="s">
        <v>978</v>
      </c>
      <c r="E37" s="4" t="s">
        <v>979</v>
      </c>
      <c r="F37" s="4" t="s">
        <v>980</v>
      </c>
      <c r="G37" s="4" t="s">
        <v>21</v>
      </c>
      <c r="H37" s="4" t="s">
        <v>981</v>
      </c>
    </row>
    <row r="38" spans="1:8" x14ac:dyDescent="0.45">
      <c r="A38" s="2" t="s">
        <v>694</v>
      </c>
      <c r="B38" s="2" t="s">
        <v>977</v>
      </c>
      <c r="C38" s="2" t="s">
        <v>498</v>
      </c>
      <c r="D38" s="2" t="s">
        <v>982</v>
      </c>
      <c r="E38" s="2" t="s">
        <v>983</v>
      </c>
      <c r="F38" s="2" t="s">
        <v>984</v>
      </c>
      <c r="G38" s="2" t="s">
        <v>17</v>
      </c>
      <c r="H38" s="2" t="s">
        <v>985</v>
      </c>
    </row>
    <row r="39" spans="1:8" x14ac:dyDescent="0.45">
      <c r="A39" s="4" t="s">
        <v>694</v>
      </c>
      <c r="B39" s="4" t="s">
        <v>977</v>
      </c>
      <c r="C39" s="4" t="s">
        <v>498</v>
      </c>
      <c r="D39" s="4" t="s">
        <v>986</v>
      </c>
      <c r="E39" s="4" t="s">
        <v>987</v>
      </c>
      <c r="F39" s="4" t="s">
        <v>988</v>
      </c>
      <c r="G39" s="4" t="s">
        <v>21</v>
      </c>
      <c r="H39" s="4"/>
    </row>
    <row r="40" spans="1:8" x14ac:dyDescent="0.45">
      <c r="A40" s="2" t="s">
        <v>694</v>
      </c>
      <c r="B40" s="2" t="s">
        <v>977</v>
      </c>
      <c r="C40" s="2" t="s">
        <v>498</v>
      </c>
      <c r="D40" s="2" t="s">
        <v>989</v>
      </c>
      <c r="E40" s="2" t="s">
        <v>990</v>
      </c>
      <c r="F40" s="2" t="s">
        <v>991</v>
      </c>
      <c r="G40" s="2" t="s">
        <v>21</v>
      </c>
      <c r="H40" s="2"/>
    </row>
    <row r="41" spans="1:8" x14ac:dyDescent="0.45">
      <c r="A41" s="4" t="s">
        <v>727</v>
      </c>
      <c r="B41" s="4" t="s">
        <v>977</v>
      </c>
      <c r="C41" s="4" t="s">
        <v>537</v>
      </c>
      <c r="D41" s="4" t="s">
        <v>992</v>
      </c>
      <c r="E41" s="4" t="s">
        <v>993</v>
      </c>
      <c r="F41" s="4" t="s">
        <v>994</v>
      </c>
      <c r="G41" s="4" t="s">
        <v>21</v>
      </c>
      <c r="H41" s="4" t="s">
        <v>995</v>
      </c>
    </row>
    <row r="42" spans="1:8" x14ac:dyDescent="0.45">
      <c r="A42" s="2" t="s">
        <v>727</v>
      </c>
      <c r="B42" s="2" t="s">
        <v>977</v>
      </c>
      <c r="C42" s="2" t="s">
        <v>537</v>
      </c>
      <c r="D42" s="2" t="s">
        <v>737</v>
      </c>
      <c r="E42" s="2" t="s">
        <v>996</v>
      </c>
      <c r="F42" s="2" t="s">
        <v>997</v>
      </c>
      <c r="G42" s="2" t="s">
        <v>21</v>
      </c>
      <c r="H42" s="2"/>
    </row>
    <row r="43" spans="1:8" x14ac:dyDescent="0.45">
      <c r="A43" s="4" t="s">
        <v>727</v>
      </c>
      <c r="B43" s="4" t="s">
        <v>977</v>
      </c>
      <c r="C43" s="4" t="s">
        <v>537</v>
      </c>
      <c r="D43" s="4" t="s">
        <v>998</v>
      </c>
      <c r="E43" s="4" t="s">
        <v>999</v>
      </c>
      <c r="F43" s="4" t="s">
        <v>1000</v>
      </c>
      <c r="G43" s="4" t="s">
        <v>21</v>
      </c>
      <c r="H43" s="4"/>
    </row>
    <row r="44" spans="1:8" x14ac:dyDescent="0.45">
      <c r="A44" s="2" t="s">
        <v>727</v>
      </c>
      <c r="B44" s="2" t="s">
        <v>977</v>
      </c>
      <c r="C44" s="2" t="s">
        <v>537</v>
      </c>
      <c r="D44" s="2" t="s">
        <v>1001</v>
      </c>
      <c r="E44" s="2" t="s">
        <v>1002</v>
      </c>
      <c r="F44" s="2" t="s">
        <v>1003</v>
      </c>
      <c r="G44" s="2" t="s">
        <v>21</v>
      </c>
      <c r="H44" s="2" t="s">
        <v>1004</v>
      </c>
    </row>
    <row r="45" spans="1:8" x14ac:dyDescent="0.45">
      <c r="A45" s="4" t="s">
        <v>727</v>
      </c>
      <c r="B45" s="4" t="s">
        <v>977</v>
      </c>
      <c r="C45" s="4" t="s">
        <v>537</v>
      </c>
      <c r="D45" s="4" t="s">
        <v>1005</v>
      </c>
      <c r="E45" s="4" t="s">
        <v>1006</v>
      </c>
      <c r="F45" s="4" t="s">
        <v>1007</v>
      </c>
      <c r="G45" s="4" t="s">
        <v>21</v>
      </c>
      <c r="H45" s="4"/>
    </row>
    <row r="46" spans="1:8" x14ac:dyDescent="0.45">
      <c r="A46" s="2" t="s">
        <v>710</v>
      </c>
      <c r="B46" s="2" t="s">
        <v>977</v>
      </c>
      <c r="C46" s="2" t="s">
        <v>528</v>
      </c>
      <c r="D46" s="2" t="s">
        <v>1008</v>
      </c>
      <c r="E46" s="2" t="s">
        <v>1009</v>
      </c>
      <c r="F46" s="2" t="s">
        <v>1010</v>
      </c>
      <c r="G46" s="2" t="s">
        <v>17</v>
      </c>
      <c r="H46" s="2" t="s">
        <v>1011</v>
      </c>
    </row>
    <row r="47" spans="1:8" ht="26.25" x14ac:dyDescent="0.45">
      <c r="A47" s="4" t="s">
        <v>1012</v>
      </c>
      <c r="B47" s="4" t="s">
        <v>977</v>
      </c>
      <c r="C47" s="4" t="s">
        <v>1013</v>
      </c>
      <c r="D47" s="4" t="s">
        <v>1014</v>
      </c>
      <c r="E47" s="4" t="s">
        <v>1015</v>
      </c>
      <c r="F47" s="4" t="s">
        <v>1016</v>
      </c>
      <c r="G47" s="4" t="s">
        <v>21</v>
      </c>
      <c r="H47" s="4" t="s">
        <v>1017</v>
      </c>
    </row>
    <row r="48" spans="1:8" x14ac:dyDescent="0.45">
      <c r="A48" s="2" t="s">
        <v>1012</v>
      </c>
      <c r="B48" s="2" t="s">
        <v>977</v>
      </c>
      <c r="C48" s="2" t="s">
        <v>1013</v>
      </c>
      <c r="D48" s="2" t="s">
        <v>1018</v>
      </c>
      <c r="E48" s="2" t="s">
        <v>1019</v>
      </c>
      <c r="F48" s="2" t="s">
        <v>1020</v>
      </c>
      <c r="G48" s="2" t="s">
        <v>21</v>
      </c>
      <c r="H48" s="2"/>
    </row>
    <row r="49" spans="1:8" ht="26.25" x14ac:dyDescent="0.45">
      <c r="A49" s="4" t="s">
        <v>1021</v>
      </c>
      <c r="B49" s="4" t="s">
        <v>1022</v>
      </c>
      <c r="C49" s="4" t="s">
        <v>1023</v>
      </c>
      <c r="D49" s="4" t="s">
        <v>1024</v>
      </c>
      <c r="E49" s="4" t="s">
        <v>1025</v>
      </c>
      <c r="F49" s="4" t="s">
        <v>1026</v>
      </c>
      <c r="G49" s="4" t="s">
        <v>21</v>
      </c>
      <c r="H49" s="4" t="s">
        <v>1027</v>
      </c>
    </row>
    <row r="50" spans="1:8" ht="26.25" x14ac:dyDescent="0.45">
      <c r="A50" s="2" t="s">
        <v>1028</v>
      </c>
      <c r="B50" s="2" t="s">
        <v>1022</v>
      </c>
      <c r="C50" s="2" t="s">
        <v>1029</v>
      </c>
      <c r="D50" s="2" t="s">
        <v>1030</v>
      </c>
      <c r="E50" s="2" t="s">
        <v>1031</v>
      </c>
      <c r="F50" s="2" t="s">
        <v>1032</v>
      </c>
      <c r="G50" s="2" t="s">
        <v>21</v>
      </c>
      <c r="H50" s="2" t="s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Greece_Itinerary</vt:lpstr>
      <vt:lpstr>Bavaria_Itinerary</vt:lpstr>
      <vt:lpstr>StLucia_Itinerary</vt:lpstr>
      <vt:lpstr>Bavaria2_Itinerary</vt:lpstr>
      <vt:lpstr>Bavaria2_Itinerary (2)</vt:lpstr>
      <vt:lpstr>Greece2_Itinerary</vt:lpstr>
      <vt:lpstr>Greece_Costs</vt:lpstr>
      <vt:lpstr>Bavaria_Costs</vt:lpstr>
      <vt:lpstr>Bavaria2_Costs</vt:lpstr>
      <vt:lpstr>StLucia_Costs</vt:lpstr>
      <vt:lpstr>Greece2_Costs</vt:lpstr>
      <vt:lpstr>Cost_Comparison</vt:lpstr>
      <vt:lpstr>Source_Register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Bubb</cp:lastModifiedBy>
  <dcterms:created xsi:type="dcterms:W3CDTF">2026-05-25T16:44:55Z</dcterms:created>
  <dcterms:modified xsi:type="dcterms:W3CDTF">2026-06-07T11:30:53Z</dcterms:modified>
</cp:coreProperties>
</file>