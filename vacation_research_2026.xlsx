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eece_Itinerary" sheetId="2" state="visible" r:id="rId2"/>
    <sheet xmlns:r="http://schemas.openxmlformats.org/officeDocument/2006/relationships" name="Bavaria_Itinerary" sheetId="3" state="visible" r:id="rId3"/>
    <sheet xmlns:r="http://schemas.openxmlformats.org/officeDocument/2006/relationships" name="StLucia_Itinerary" sheetId="4" state="visible" r:id="rId4"/>
    <sheet xmlns:r="http://schemas.openxmlformats.org/officeDocument/2006/relationships" name="Bavaria2_Itinerary" sheetId="5" state="visible" r:id="rId5"/>
    <sheet xmlns:r="http://schemas.openxmlformats.org/officeDocument/2006/relationships" name="Greece2_Itinerary" sheetId="6" state="visible" r:id="rId6"/>
    <sheet xmlns:r="http://schemas.openxmlformats.org/officeDocument/2006/relationships" name="Greece_Costs" sheetId="7" state="visible" r:id="rId7"/>
    <sheet xmlns:r="http://schemas.openxmlformats.org/officeDocument/2006/relationships" name="Bavaria_Costs" sheetId="8" state="visible" r:id="rId8"/>
    <sheet xmlns:r="http://schemas.openxmlformats.org/officeDocument/2006/relationships" name="Bavaria2_Costs" sheetId="9" state="visible" r:id="rId9"/>
    <sheet xmlns:r="http://schemas.openxmlformats.org/officeDocument/2006/relationships" name="StLucia_Costs" sheetId="10" state="visible" r:id="rId10"/>
    <sheet xmlns:r="http://schemas.openxmlformats.org/officeDocument/2006/relationships" name="Greece2_Costs" sheetId="11" state="visible" r:id="rId11"/>
    <sheet xmlns:r="http://schemas.openxmlformats.org/officeDocument/2006/relationships" name="Cost_Comparison" sheetId="12" state="visible" r:id="rId12"/>
    <sheet xmlns:r="http://schemas.openxmlformats.org/officeDocument/2006/relationships" name="Source_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4" customWidth="1" min="11" max="11"/>
    <col width="14" customWidth="1" min="12" max="12"/>
    <col width="11" customWidth="1" min="13" max="13"/>
    <col width="35" customWidth="1" min="14" max="14"/>
    <col width="35" customWidth="1" min="15" max="15"/>
  </cols>
  <sheetData>
    <row r="1" ht="36" customHeight="1">
      <c r="A1" s="1" t="inlineStr">
        <is>
          <t>Destination / Option</t>
        </is>
      </c>
      <c r="B1" s="1" t="inlineStr">
        <is>
          <t>Trip Character</t>
        </is>
      </c>
      <c r="C1" s="1" t="inlineStr">
        <is>
          <t>Ground Nights</t>
        </is>
      </c>
      <c r="D1" s="1" t="inlineStr">
        <is>
          <t>Flight Nights</t>
        </is>
      </c>
      <c r="E1" s="1" t="inlineStr">
        <is>
          <t>Low Total (USD)</t>
        </is>
      </c>
      <c r="F1" s="1" t="inlineStr">
        <is>
          <t>Mid Total (USD)</t>
        </is>
      </c>
      <c r="G1" s="1" t="inlineStr">
        <is>
          <t>High Total (USD)</t>
        </is>
      </c>
      <c r="H1" s="1" t="inlineStr">
        <is>
          <t>Cost/Night Mid</t>
        </is>
      </c>
      <c r="I1" s="1" t="inlineStr">
        <is>
          <t>Cost Confidence</t>
        </is>
      </c>
      <c r="J1" s="1" t="inlineStr">
        <is>
          <t>Logistics Friction</t>
        </is>
      </c>
      <c r="K1" s="1" t="inlineStr">
        <is>
          <t>Weather Risk July</t>
        </is>
      </c>
      <c r="L1" s="1" t="inlineStr">
        <is>
          <t>Cultural Depth</t>
        </is>
      </c>
      <c r="M1" s="1" t="inlineStr">
        <is>
          <t>Teen Appeal</t>
        </is>
      </c>
      <c r="N1" s="1" t="inlineStr">
        <is>
          <t>Key Strength</t>
        </is>
      </c>
      <c r="O1" s="1" t="inlineStr">
        <is>
          <t>Key Weakness</t>
        </is>
      </c>
    </row>
    <row r="2">
      <c r="A2" s="2" t="inlineStr">
        <is>
          <t>Greece — Opt 1 (Cyclades)</t>
        </is>
      </c>
      <c r="B2" s="2" t="inlineStr">
        <is>
          <t>Ancient city + two-island Cyclades</t>
        </is>
      </c>
      <c r="C2" s="2" t="n">
        <v>9</v>
      </c>
      <c r="D2" s="2" t="n">
        <v>1</v>
      </c>
      <c r="E2" s="3">
        <f>Greece_Costs!E23</f>
        <v/>
      </c>
      <c r="F2" s="3">
        <f>Greece_Costs!F23</f>
        <v/>
      </c>
      <c r="G2" s="3">
        <f>Greece_Costs!G23</f>
        <v/>
      </c>
      <c r="H2" s="3">
        <f>Greece_Costs!F23/C2</f>
        <v/>
      </c>
      <c r="I2" s="2" t="inlineStr">
        <is>
          <t>Medium</t>
        </is>
      </c>
      <c r="J2" s="2" t="inlineStr">
        <is>
          <t>Medium-High</t>
        </is>
      </c>
      <c r="K2" s="2" t="inlineStr">
        <is>
          <t>High (heat + meltemi)</t>
        </is>
      </c>
      <c r="L2" s="2" t="inlineStr">
        <is>
          <t>Highest</t>
        </is>
      </c>
      <c r="M2" s="2" t="inlineStr">
        <is>
          <t>High</t>
        </is>
      </c>
      <c r="N2" s="2" t="inlineStr">
        <is>
          <t>Most iconic and memorable trip</t>
        </is>
      </c>
      <c r="O2" s="2" t="inlineStr">
        <is>
          <t>Transfer drag; heat; Santorini crowds</t>
        </is>
      </c>
    </row>
    <row r="3">
      <c r="A3" s="4" t="inlineStr">
        <is>
          <t>Greece — Opt 2 (Crete)</t>
        </is>
      </c>
      <c r="B3" s="4" t="inlineStr">
        <is>
          <t>Crete beaches + history + Athens day</t>
        </is>
      </c>
      <c r="C3" s="4" t="n">
        <v>9</v>
      </c>
      <c r="D3" s="4" t="n">
        <v>1</v>
      </c>
      <c r="E3" s="5">
        <f>Greece2_Costs!E21</f>
        <v/>
      </c>
      <c r="F3" s="5">
        <f>Greece2_Costs!F21</f>
        <v/>
      </c>
      <c r="G3" s="5">
        <f>Greece2_Costs!G21</f>
        <v/>
      </c>
      <c r="H3" s="5">
        <f>Greece2_Costs!F21/C3</f>
        <v/>
      </c>
      <c r="I3" s="4" t="inlineStr">
        <is>
          <t>Medium</t>
        </is>
      </c>
      <c r="J3" s="4" t="inlineStr">
        <is>
          <t>Medium</t>
        </is>
      </c>
      <c r="K3" s="4" t="inlineStr">
        <is>
          <t>Moderate (heat; car on narrow roads)</t>
        </is>
      </c>
      <c r="L3" s="4" t="inlineStr">
        <is>
          <t>Highest</t>
        </is>
      </c>
      <c r="M3" s="4" t="inlineStr">
        <is>
          <t>High</t>
        </is>
      </c>
      <c r="N3" s="4" t="inlineStr">
        <is>
          <t>Most historically rich; car freedom; no ferry anxiety</t>
        </is>
      </c>
      <c r="O3" s="4" t="inlineStr">
        <is>
          <t>No Santorini caldera view; car adds rental/fuel complexity</t>
        </is>
      </c>
    </row>
    <row r="4">
      <c r="A4" s="2" t="inlineStr">
        <is>
          <t>Bavaria + Salzburg</t>
        </is>
      </c>
      <c r="B4" s="2" t="inlineStr">
        <is>
          <t>Rail-based Alpine and city tour</t>
        </is>
      </c>
      <c r="C4" s="2" t="n">
        <v>9</v>
      </c>
      <c r="D4" s="2" t="n">
        <v>1</v>
      </c>
      <c r="E4" s="3">
        <f>Bavaria_Costs!E28</f>
        <v/>
      </c>
      <c r="F4" s="3">
        <f>Bavaria_Costs!F28</f>
        <v/>
      </c>
      <c r="G4" s="3">
        <f>Bavaria_Costs!G28</f>
        <v/>
      </c>
      <c r="H4" s="3">
        <f>Bavaria_Costs!F28/C4</f>
        <v/>
      </c>
      <c r="I4" s="2" t="inlineStr">
        <is>
          <t>Medium-High</t>
        </is>
      </c>
      <c r="J4" s="2" t="inlineStr">
        <is>
          <t>Medium</t>
        </is>
      </c>
      <c r="K4" s="2" t="inlineStr">
        <is>
          <t>Moderate (mountain weather)</t>
        </is>
      </c>
      <c r="L4" s="2" t="inlineStr">
        <is>
          <t>High</t>
        </is>
      </c>
      <c r="M4" s="2" t="inlineStr">
        <is>
          <t>Very High</t>
        </is>
      </c>
      <c r="N4" s="2" t="inlineStr">
        <is>
          <t>Most balanced and stress-light</t>
        </is>
      </c>
      <c r="O4" s="2" t="inlineStr">
        <is>
          <t>Weather-sensitive mountain days; over-design risk</t>
        </is>
      </c>
    </row>
    <row r="5">
      <c r="A5" s="4" t="inlineStr">
        <is>
          <t>Bavaria — Opt 2 (Cities &amp; Castles)</t>
        </is>
      </c>
      <c r="B5" s="4" t="inlineStr">
        <is>
          <t>Cities and castles (Munich-Berchtesgaden-Salzburg)</t>
        </is>
      </c>
      <c r="C5" s="4" t="n">
        <v>9</v>
      </c>
      <c r="D5" s="4" t="n">
        <v>1</v>
      </c>
      <c r="E5" s="5">
        <f>Bavaria2_Costs!E27</f>
        <v/>
      </c>
      <c r="F5" s="5">
        <f>Bavaria2_Costs!F27</f>
        <v/>
      </c>
      <c r="G5" s="5">
        <f>Bavaria2_Costs!G27</f>
        <v/>
      </c>
      <c r="H5" s="5">
        <f>Bavaria2_Costs!F27/C5</f>
        <v/>
      </c>
      <c r="I5" s="4" t="inlineStr">
        <is>
          <t>Medium-High</t>
        </is>
      </c>
      <c r="J5" s="4" t="inlineStr">
        <is>
          <t>Low-Medium</t>
        </is>
      </c>
      <c r="K5" s="4" t="inlineStr">
        <is>
          <t>Moderate (mountain weather)</t>
        </is>
      </c>
      <c r="L5" s="4" t="inlineStr">
        <is>
          <t>High</t>
        </is>
      </c>
      <c r="M5" s="4" t="inlineStr">
        <is>
          <t>Very High</t>
        </is>
      </c>
      <c r="N5" s="4" t="inlineStr">
        <is>
          <t>Neuschwanstein; Hallstatt; castle-focused; less hiking</t>
        </is>
      </c>
      <c r="O5" s="4" t="inlineStr">
        <is>
          <t>No alpine village base; Mittenwald removed; similar cost to Opt 1</t>
        </is>
      </c>
    </row>
    <row r="6">
      <c r="A6" s="2" t="inlineStr">
        <is>
          <t>St. Lucia — Option A (All-Inclusive)</t>
        </is>
      </c>
      <c r="B6" s="2" t="inlineStr">
        <is>
          <t>Tropical adventure + resort base</t>
        </is>
      </c>
      <c r="C6" s="2" t="n">
        <v>10</v>
      </c>
      <c r="D6" s="2" t="n">
        <v>0</v>
      </c>
      <c r="E6" s="3">
        <f>StLucia_Costs!E26</f>
        <v/>
      </c>
      <c r="F6" s="3">
        <f>StLucia_Costs!F26</f>
        <v/>
      </c>
      <c r="G6" s="3">
        <f>StLucia_Costs!G26</f>
        <v/>
      </c>
      <c r="H6" s="3">
        <f>StLucia_Costs!F26/C6</f>
        <v/>
      </c>
      <c r="I6" s="2" t="inlineStr">
        <is>
          <t>Medium</t>
        </is>
      </c>
      <c r="J6" s="2" t="inlineStr">
        <is>
          <t>Low</t>
        </is>
      </c>
      <c r="K6" s="2" t="inlineStr">
        <is>
          <t>Moderate-High (hurricane season)</t>
        </is>
      </c>
      <c r="L6" s="2" t="inlineStr">
        <is>
          <t>Moderate</t>
        </is>
      </c>
      <c r="M6" s="2" t="inlineStr">
        <is>
          <t>High</t>
        </is>
      </c>
      <c r="N6" s="2" t="inlineStr">
        <is>
          <t>Full 10 nights; easy logistics; all-in pricing</t>
        </is>
      </c>
      <c r="O6" s="2" t="inlineStr">
        <is>
          <t>Lower cultural depth; lodging cost dominates</t>
        </is>
      </c>
    </row>
    <row r="7">
      <c r="A7" s="4" t="inlineStr">
        <is>
          <t>St. Lucia — Option B (Villa + Bay Gardens)</t>
        </is>
      </c>
      <c r="B7" s="4" t="inlineStr">
        <is>
          <t>Tropical adventure + villa/split</t>
        </is>
      </c>
      <c r="C7" s="4" t="n">
        <v>10</v>
      </c>
      <c r="D7" s="4" t="n">
        <v>0</v>
      </c>
      <c r="E7" s="5">
        <f>StLucia_Costs!E27</f>
        <v/>
      </c>
      <c r="F7" s="5">
        <f>StLucia_Costs!F27</f>
        <v/>
      </c>
      <c r="G7" s="5">
        <f>StLucia_Costs!G27</f>
        <v/>
      </c>
      <c r="H7" s="5">
        <f>StLucia_Costs!F27/C7</f>
        <v/>
      </c>
      <c r="I7" s="4" t="inlineStr">
        <is>
          <t>Medium</t>
        </is>
      </c>
      <c r="J7" s="4" t="inlineStr">
        <is>
          <t>Medium</t>
        </is>
      </c>
      <c r="K7" s="4" t="inlineStr">
        <is>
          <t>Moderate-High (hurricane season)</t>
        </is>
      </c>
      <c r="L7" s="4" t="inlineStr">
        <is>
          <t>Moderate</t>
        </is>
      </c>
      <c r="M7" s="4" t="inlineStr">
        <is>
          <t>High</t>
        </is>
      </c>
      <c r="N7" s="4" t="inlineStr">
        <is>
          <t>Best value; most local feel</t>
        </is>
      </c>
      <c r="O7" s="4" t="inlineStr">
        <is>
          <t>One transfer mid-trip; more daily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18" customWidth="1" min="4" max="4"/>
    <col width="38" customWidth="1" min="5" max="5"/>
    <col width="38" customWidth="1" min="6" max="6"/>
    <col width="32" customWidth="1" min="7" max="7"/>
    <col width="24" customWidth="1" min="8" max="8"/>
    <col width="14" customWidth="1" min="9" max="9"/>
    <col width="12" customWidth="1" min="10" max="10"/>
    <col width="18" customWidth="1" min="11" max="11"/>
    <col width="34" customWidth="1" min="12" max="12"/>
    <col width="16" customWidth="1" min="13" max="13"/>
    <col width="42" customWidth="1" min="14" max="14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Overnight</t>
        </is>
      </c>
      <c r="E1" s="1" t="inlineStr">
        <is>
          <t>Morning</t>
        </is>
      </c>
      <c r="F1" s="1" t="inlineStr">
        <is>
          <t>Afternoon</t>
        </is>
      </c>
      <c r="G1" s="1" t="inlineStr">
        <is>
          <t>Evening</t>
        </is>
      </c>
      <c r="H1" s="1" t="inlineStr">
        <is>
          <t>Transport</t>
        </is>
      </c>
      <c r="I1" s="1" t="inlineStr">
        <is>
          <t>Travel Time</t>
        </is>
      </c>
      <c r="J1" s="1" t="inlineStr">
        <is>
          <t>Book Ahead</t>
        </is>
      </c>
      <c r="K1" s="1" t="inlineStr">
        <is>
          <t>Weather Sensitive</t>
        </is>
      </c>
      <c r="L1" s="1" t="inlineStr">
        <is>
          <t>Backup Option</t>
        </is>
      </c>
      <c r="M1" s="1" t="inlineStr">
        <is>
          <t>Est. Daily Cost (Family USD)</t>
        </is>
      </c>
      <c r="N1" s="1" t="inlineStr">
        <is>
          <t>Notes</t>
        </is>
      </c>
    </row>
    <row r="2">
      <c r="A2" s="2" t="n">
        <v>1</v>
      </c>
      <c r="B2" s="2" t="inlineStr">
        <is>
          <t>Sat Jul 11</t>
        </is>
      </c>
      <c r="C2" s="2" t="inlineStr">
        <is>
          <t>DC → Athens</t>
        </is>
      </c>
      <c r="D2" s="2" t="inlineStr">
        <is>
          <t>In-flight</t>
        </is>
      </c>
      <c r="E2" s="2" t="inlineStr">
        <is>
          <t>Airport departure</t>
        </is>
      </c>
      <c r="F2" s="2" t="inlineStr">
        <is>
          <t>Transatlantic flight</t>
        </is>
      </c>
      <c r="G2" s="2" t="inlineStr">
        <is>
          <t>In-flight</t>
        </is>
      </c>
      <c r="H2" s="2" t="inlineStr">
        <is>
          <t>IAD nonstop or via FRA/IST</t>
        </is>
      </c>
      <c r="I2" s="2" t="inlineStr">
        <is>
          <t>Overnight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None</t>
        </is>
      </c>
      <c r="M2" s="3" t="n">
        <v>0</v>
      </c>
      <c r="N2" s="2" t="inlineStr">
        <is>
          <t>Europe clock begins on flight night</t>
        </is>
      </c>
    </row>
    <row r="3">
      <c r="A3" s="4" t="n">
        <v>2</v>
      </c>
      <c r="B3" s="4" t="inlineStr">
        <is>
          <t>Sun Jul 12</t>
        </is>
      </c>
      <c r="C3" s="4" t="inlineStr">
        <is>
          <t>Athens</t>
        </is>
      </c>
      <c r="D3" s="4" t="inlineStr">
        <is>
          <t>Athens</t>
        </is>
      </c>
      <c r="E3" s="4" t="inlineStr">
        <is>
          <t>Arrive ATH; airport express train; hotel check-in</t>
        </is>
      </c>
      <c r="F3" s="4" t="inlineStr">
        <is>
          <t>Plaka walk; Anafiotika lanes; light lunch</t>
        </is>
      </c>
      <c r="G3" s="4" t="inlineStr">
        <is>
          <t>Rooftop dinner with Acropolis view</t>
        </is>
      </c>
      <c r="H3" s="4" t="inlineStr">
        <is>
          <t>Airport express train</t>
        </is>
      </c>
      <c r="I3" s="4" t="inlineStr">
        <is>
          <t>40 min</t>
        </is>
      </c>
      <c r="J3" s="4" t="inlineStr">
        <is>
          <t>N</t>
        </is>
      </c>
      <c r="K3" s="4" t="inlineStr">
        <is>
          <t>N</t>
        </is>
      </c>
      <c r="L3" s="4" t="inlineStr">
        <is>
          <t>Pool/nap day</t>
        </is>
      </c>
      <c r="M3" s="5" t="n">
        <v>320</v>
      </c>
      <c r="N3" s="4" t="inlineStr">
        <is>
          <t>Keep light; absorb jet lag</t>
        </is>
      </c>
    </row>
    <row r="4">
      <c r="A4" s="2" t="n">
        <v>3</v>
      </c>
      <c r="B4" s="2" t="inlineStr">
        <is>
          <t>Mon Jul 13</t>
        </is>
      </c>
      <c r="C4" s="2" t="inlineStr">
        <is>
          <t>Athens</t>
        </is>
      </c>
      <c r="D4" s="2" t="inlineStr">
        <is>
          <t>Athens</t>
        </is>
      </c>
      <c r="E4" s="2" t="inlineStr">
        <is>
          <t>Acropolis at 8 am (timed entry required)</t>
        </is>
      </c>
      <c r="F4" s="2" t="inlineStr">
        <is>
          <t>Acropolis Museum; shaded lunch; siesta during peak heat</t>
        </is>
      </c>
      <c r="G4" s="2" t="inlineStr">
        <is>
          <t>Athens food tour or Monastiraki evening</t>
        </is>
      </c>
      <c r="H4" s="2" t="inlineStr">
        <is>
          <t>Local metro/taxi</t>
        </is>
      </c>
      <c r="I4" s="2" t="inlineStr">
        <is>
          <t>Local</t>
        </is>
      </c>
      <c r="J4" s="2" t="inlineStr">
        <is>
          <t>Y (Acropolis tickets)</t>
        </is>
      </c>
      <c r="K4" s="2" t="inlineStr">
        <is>
          <t>Y (heat)</t>
        </is>
      </c>
      <c r="L4" s="2" t="inlineStr">
        <is>
          <t>Museum first if very hot</t>
        </is>
      </c>
      <c r="M4" s="3" t="n">
        <v>420</v>
      </c>
      <c r="N4" s="2" t="inlineStr">
        <is>
          <t>Book Acropolis timed entry well in advance</t>
        </is>
      </c>
    </row>
    <row r="5">
      <c r="A5" s="4" t="n">
        <v>4</v>
      </c>
      <c r="B5" s="4" t="inlineStr">
        <is>
          <t>Tue Jul 14</t>
        </is>
      </c>
      <c r="C5" s="4" t="inlineStr">
        <is>
          <t>Athens → Naxos</t>
        </is>
      </c>
      <c r="D5" s="4" t="inlineStr">
        <is>
          <t>Naxos</t>
        </is>
      </c>
      <c r="E5" s="4" t="inlineStr">
        <is>
          <t>Blue Star ferry from Piraeus ~07:30</t>
        </is>
      </c>
      <c r="F5" s="4" t="inlineStr">
        <is>
          <t>Arrive Naxos ~13:00; check in; Agios Georgios beach</t>
        </is>
      </c>
      <c r="G5" s="4" t="inlineStr">
        <is>
          <t>Sunset at the Portara; dinner in Chora</t>
        </is>
      </c>
      <c r="H5" s="4" t="inlineStr">
        <is>
          <t>Piraeus ferry</t>
        </is>
      </c>
      <c r="I5" s="4" t="inlineStr">
        <is>
          <t>5.5 hrs</t>
        </is>
      </c>
      <c r="J5" s="4" t="inlineStr">
        <is>
          <t>Y</t>
        </is>
      </c>
      <c r="K5" s="4" t="inlineStr">
        <is>
          <t>Y (wind)</t>
        </is>
      </c>
      <c r="L5" s="4" t="inlineStr">
        <is>
          <t>Fly ATH–JNX if seas rough</t>
        </is>
      </c>
      <c r="M5" s="5" t="n">
        <v>530</v>
      </c>
      <c r="N5" s="4" t="inlineStr">
        <is>
          <t>Blue Star more wind-stable than Seajets; recommended for Piraeus–Naxos</t>
        </is>
      </c>
    </row>
    <row r="6">
      <c r="A6" s="2" t="n">
        <v>5</v>
      </c>
      <c r="B6" s="2" t="inlineStr">
        <is>
          <t>Wed Jul 15</t>
        </is>
      </c>
      <c r="C6" s="2" t="inlineStr">
        <is>
          <t>Naxos</t>
        </is>
      </c>
      <c r="D6" s="2" t="inlineStr">
        <is>
          <t>Naxos</t>
        </is>
      </c>
      <c r="E6" s="2" t="inlineStr">
        <is>
          <t>Mount Zas hike (start 6:30 am; 3–4 hrs RT; Zeus's Cave en route)</t>
        </is>
      </c>
      <c r="F6" s="2" t="inlineStr">
        <is>
          <t>Lunch in Filoti; taxi to Apeiranthos marble village</t>
        </is>
      </c>
      <c r="G6" s="2" t="inlineStr">
        <is>
          <t>Halki village; citron distillery tasting; dinner in Chora</t>
        </is>
      </c>
      <c r="H6" s="2" t="inlineStr">
        <is>
          <t>Bus or local taxi</t>
        </is>
      </c>
      <c r="I6" s="2" t="inlineStr">
        <is>
          <t>Half-day</t>
        </is>
      </c>
      <c r="J6" s="2" t="inlineStr">
        <is>
          <t>N</t>
        </is>
      </c>
      <c r="K6" s="2" t="inlineStr">
        <is>
          <t>Y (summit heat)</t>
        </is>
      </c>
      <c r="L6" s="2" t="inlineStr">
        <is>
          <t>Village loop without the summit hike</t>
        </is>
      </c>
      <c r="M6" s="3" t="n">
        <v>320</v>
      </c>
      <c r="N6" s="2" t="inlineStr">
        <is>
          <t>Hire taxi for village loop ~€80 half-day</t>
        </is>
      </c>
    </row>
    <row r="7">
      <c r="A7" s="4" t="n">
        <v>6</v>
      </c>
      <c r="B7" s="4" t="inlineStr">
        <is>
          <t>Thu Jul 16</t>
        </is>
      </c>
      <c r="C7" s="4" t="inlineStr">
        <is>
          <t>Naxos</t>
        </is>
      </c>
      <c r="D7" s="4" t="inlineStr">
        <is>
          <t>Naxos</t>
        </is>
      </c>
      <c r="E7" s="4" t="inlineStr">
        <is>
          <t>Half-day catamaran with snorkeling (departs Chora ~10 am)</t>
        </is>
      </c>
      <c r="F7" s="4" t="inlineStr">
        <is>
          <t>Plaka or Agia Anna beach</t>
        </is>
      </c>
      <c r="G7" s="4" t="inlineStr">
        <is>
          <t>Waterfront dinner in Naxos Town</t>
        </is>
      </c>
      <c r="H7" s="4" t="inlineStr">
        <is>
          <t>Boat; local bus</t>
        </is>
      </c>
      <c r="I7" s="4" t="inlineStr">
        <is>
          <t>Full morning</t>
        </is>
      </c>
      <c r="J7" s="4" t="inlineStr">
        <is>
          <t>Y</t>
        </is>
      </c>
      <c r="K7" s="4" t="inlineStr">
        <is>
          <t>Y (wind cancels boats)</t>
        </is>
      </c>
      <c r="L7" s="4" t="inlineStr">
        <is>
          <t>Pure beach day at Plaka if winds strong</t>
        </is>
      </c>
      <c r="M7" s="5" t="n">
        <v>520</v>
      </c>
      <c r="N7" s="4" t="inlineStr">
        <is>
          <t>Book catamaran 1–2 weeks ahead; best teen day on Naxos</t>
        </is>
      </c>
    </row>
    <row r="8">
      <c r="A8" s="2" t="n">
        <v>7</v>
      </c>
      <c r="B8" s="2" t="inlineStr">
        <is>
          <t>Fri Jul 17</t>
        </is>
      </c>
      <c r="C8" s="2" t="inlineStr">
        <is>
          <t>Naxos → Santorini</t>
        </is>
      </c>
      <c r="D8" s="2" t="inlineStr">
        <is>
          <t>Santorini</t>
        </is>
      </c>
      <c r="E8" s="2" t="inlineStr">
        <is>
          <t>Late beach swim; lunch in Chora</t>
        </is>
      </c>
      <c r="F8" s="2" t="inlineStr">
        <is>
          <t>Seajets fast ferry to Santorini (~1.5 hrs); check in to Imerovigli</t>
        </is>
      </c>
      <c r="G8" s="2" t="inlineStr">
        <is>
          <t>Skaros Rock sunset walk; dinner in Imerovigli</t>
        </is>
      </c>
      <c r="H8" s="2" t="inlineStr">
        <is>
          <t>Seajets</t>
        </is>
      </c>
      <c r="I8" s="2" t="inlineStr">
        <is>
          <t>1.5 hrs</t>
        </is>
      </c>
      <c r="J8" s="2" t="inlineStr">
        <is>
          <t>Y</t>
        </is>
      </c>
      <c r="K8" s="2" t="inlineStr">
        <is>
          <t>Y (wind cancels Seajets)</t>
        </is>
      </c>
      <c r="L8" s="2" t="inlineStr">
        <is>
          <t>Blue Star backup or fly JNX–JTR</t>
        </is>
      </c>
      <c r="M8" s="3" t="n">
        <v>840</v>
      </c>
      <c r="N8" s="2" t="inlineStr">
        <is>
          <t>Book Seajets early; July Fridays fill fast</t>
        </is>
      </c>
    </row>
    <row r="9">
      <c r="A9" s="4" t="n">
        <v>8</v>
      </c>
      <c r="B9" s="4" t="inlineStr">
        <is>
          <t>Sat Jul 18</t>
        </is>
      </c>
      <c r="C9" s="4" t="inlineStr">
        <is>
          <t>Santorini</t>
        </is>
      </c>
      <c r="D9" s="4" t="inlineStr">
        <is>
          <t>Santorini</t>
        </is>
      </c>
      <c r="E9" s="4" t="inlineStr">
        <is>
          <t>Fira-to-Oia caldera hike (start 6:30 am; 10 km; ~3.5 hrs)</t>
        </is>
      </c>
      <c r="F9" s="4" t="inlineStr">
        <is>
          <t>Oia exploration; lunch; bus/taxi back</t>
        </is>
      </c>
      <c r="G9" s="4" t="inlineStr">
        <is>
          <t>Dinner in Imerovigli</t>
        </is>
      </c>
      <c r="H9" s="4" t="inlineStr">
        <is>
          <t>Walk + bus/taxi</t>
        </is>
      </c>
      <c r="I9" s="4" t="inlineStr">
        <is>
          <t>3.5 hrs hiking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Sleep in; taxi to Oia instead</t>
        </is>
      </c>
      <c r="M9" s="5" t="n">
        <v>580</v>
      </c>
      <c r="N9" s="4" t="inlineStr">
        <is>
          <t>Start at dawn; heat arrives fast; single best free activity in Greece</t>
        </is>
      </c>
    </row>
    <row r="10">
      <c r="A10" s="2" t="n">
        <v>9</v>
      </c>
      <c r="B10" s="2" t="inlineStr">
        <is>
          <t>Sun Jul 19</t>
        </is>
      </c>
      <c r="C10" s="2" t="inlineStr">
        <is>
          <t>Santorini</t>
        </is>
      </c>
      <c r="D10" s="2" t="inlineStr">
        <is>
          <t>Santorini</t>
        </is>
      </c>
      <c r="E10" s="2" t="inlineStr">
        <is>
          <t>Caldera catamaran tour (volcano + hot springs + Red Beach; ~5 hrs)</t>
        </is>
      </c>
      <c r="F10" s="2" t="inlineStr">
        <is>
          <t>Akrotiri archaeological site (€15/adult)</t>
        </is>
      </c>
      <c r="G10" s="2" t="inlineStr">
        <is>
          <t>Quiet caldera viewpoint dinner</t>
        </is>
      </c>
      <c r="H10" s="2" t="inlineStr">
        <is>
          <t>Catamaran + taxi</t>
        </is>
      </c>
      <c r="I10" s="2" t="inlineStr">
        <is>
          <t>Full day</t>
        </is>
      </c>
      <c r="J10" s="2" t="inlineStr">
        <is>
          <t>Y</t>
        </is>
      </c>
      <c r="K10" s="2" t="inlineStr">
        <is>
          <t>Y (boat cancels in wind)</t>
        </is>
      </c>
      <c r="L10" s="2" t="inlineStr">
        <is>
          <t>Akrotiri + Red Beach by land if seas rough</t>
        </is>
      </c>
      <c r="M10" s="3" t="n">
        <v>860</v>
      </c>
      <c r="N10" s="2" t="inlineStr">
        <is>
          <t>Akrotiri requires timed entry; book ahead</t>
        </is>
      </c>
    </row>
    <row r="11">
      <c r="A11" s="4" t="n">
        <v>10</v>
      </c>
      <c r="B11" s="4" t="inlineStr">
        <is>
          <t>Mon Jul 20</t>
        </is>
      </c>
      <c r="C11" s="4" t="inlineStr">
        <is>
          <t>Santorini → Athens</t>
        </is>
      </c>
      <c r="D11" s="4" t="inlineStr">
        <is>
          <t>Athens (airport area)</t>
        </is>
      </c>
      <c r="E11" s="4" t="inlineStr">
        <is>
          <t>Aegean Airlines morning flight to ATH (~50 min)</t>
        </is>
      </c>
      <c r="F11" s="4" t="inlineStr">
        <is>
          <t>Buffer afternoon in Athens; Stavros Niarchos or Syntagma stroll</t>
        </is>
      </c>
      <c r="G11" s="4" t="inlineStr">
        <is>
          <t>Early dinner; airport-area hotel (Sofitel Athens Airport)</t>
        </is>
      </c>
      <c r="H11" s="4" t="inlineStr">
        <is>
          <t>Domestic flight</t>
        </is>
      </c>
      <c r="I11" s="4" t="inlineStr">
        <is>
          <t>50 min + transfer</t>
        </is>
      </c>
      <c r="J11" s="4" t="inlineStr">
        <is>
          <t>Y</t>
        </is>
      </c>
      <c r="K11" s="4" t="inlineStr">
        <is>
          <t>N</t>
        </is>
      </c>
      <c r="L11" s="4" t="inlineStr">
        <is>
          <t>Piraeus fast ferry as backup</t>
        </is>
      </c>
      <c r="M11" s="5" t="n">
        <v>490</v>
      </c>
      <c r="N11" s="4" t="inlineStr">
        <is>
          <t>Never put international departure at risk of a ferry delay</t>
        </is>
      </c>
    </row>
    <row r="12">
      <c r="A12" s="2" t="n">
        <v>11</v>
      </c>
      <c r="B12" s="2" t="inlineStr">
        <is>
          <t>Tue Jul 21</t>
        </is>
      </c>
      <c r="C12" s="2" t="inlineStr">
        <is>
          <t>Athens → DC</t>
        </is>
      </c>
      <c r="D12" s="2" t="inlineStr">
        <is>
          <t>At home</t>
        </is>
      </c>
      <c r="E12" s="2" t="inlineStr">
        <is>
          <t>Depart ATH</t>
        </is>
      </c>
      <c r="F12" s="2" t="inlineStr">
        <is>
          <t>Transatlantic home</t>
        </is>
      </c>
      <c r="G12" s="2" t="inlineStr">
        <is>
          <t>Arrive DC</t>
        </is>
      </c>
      <c r="H12" s="2" t="inlineStr">
        <is>
          <t>IAD nonstop or connecting</t>
        </is>
      </c>
      <c r="I12" s="2" t="inlineStr">
        <is>
          <t>Long-haul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None</t>
        </is>
      </c>
      <c r="M12" s="3" t="n">
        <v>0</v>
      </c>
      <c r="N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8" customWidth="1" min="4" max="4"/>
    <col width="40" customWidth="1" min="5" max="5"/>
    <col width="38" customWidth="1" min="6" max="6"/>
    <col width="34" customWidth="1" min="7" max="7"/>
    <col width="26" customWidth="1" min="8" max="8"/>
    <col width="16" customWidth="1" min="9" max="9"/>
    <col width="14" customWidth="1" min="10" max="10"/>
    <col width="20" customWidth="1" min="11" max="11"/>
    <col width="36" customWidth="1" min="12" max="12"/>
    <col width="16" customWidth="1" min="13" max="13"/>
    <col width="42" customWidth="1" min="14" max="14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Overnight</t>
        </is>
      </c>
      <c r="E1" s="1" t="inlineStr">
        <is>
          <t>Morning</t>
        </is>
      </c>
      <c r="F1" s="1" t="inlineStr">
        <is>
          <t>Afternoon</t>
        </is>
      </c>
      <c r="G1" s="1" t="inlineStr">
        <is>
          <t>Evening</t>
        </is>
      </c>
      <c r="H1" s="1" t="inlineStr">
        <is>
          <t>Transport</t>
        </is>
      </c>
      <c r="I1" s="1" t="inlineStr">
        <is>
          <t>Travel Time</t>
        </is>
      </c>
      <c r="J1" s="1" t="inlineStr">
        <is>
          <t>Book Ahead</t>
        </is>
      </c>
      <c r="K1" s="1" t="inlineStr">
        <is>
          <t>Weather Sensitive</t>
        </is>
      </c>
      <c r="L1" s="1" t="inlineStr">
        <is>
          <t>Backup Option</t>
        </is>
      </c>
      <c r="M1" s="1" t="inlineStr">
        <is>
          <t>Est. Daily Cost (Family USD)</t>
        </is>
      </c>
      <c r="N1" s="1" t="inlineStr">
        <is>
          <t>Notes</t>
        </is>
      </c>
    </row>
    <row r="2">
      <c r="A2" s="2" t="n">
        <v>1</v>
      </c>
      <c r="B2" s="2" t="inlineStr">
        <is>
          <t>Sat Jul 11</t>
        </is>
      </c>
      <c r="C2" s="2" t="inlineStr">
        <is>
          <t>DC → Munich</t>
        </is>
      </c>
      <c r="D2" s="2" t="inlineStr">
        <is>
          <t>In-flight</t>
        </is>
      </c>
      <c r="E2" s="2" t="inlineStr">
        <is>
          <t>Airport departure</t>
        </is>
      </c>
      <c r="F2" s="2" t="inlineStr">
        <is>
          <t>Overnight transatlantic</t>
        </is>
      </c>
      <c r="G2" s="2" t="inlineStr">
        <is>
          <t>In-flight</t>
        </is>
      </c>
      <c r="H2" s="2" t="inlineStr">
        <is>
          <t>IAD nonstop (Lufthansa/United)</t>
        </is>
      </c>
      <c r="I2" s="2" t="inlineStr">
        <is>
          <t>~8–10 hrs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None</t>
        </is>
      </c>
      <c r="M2" s="3" t="n">
        <v>0</v>
      </c>
      <c r="N2" s="2" t="inlineStr">
        <is>
          <t>Europe clock begins on flight night</t>
        </is>
      </c>
    </row>
    <row r="3">
      <c r="A3" s="4" t="n">
        <v>2</v>
      </c>
      <c r="B3" s="4" t="inlineStr">
        <is>
          <t>Sun Jul 12</t>
        </is>
      </c>
      <c r="C3" s="4" t="inlineStr">
        <is>
          <t>Munich</t>
        </is>
      </c>
      <c r="D3" s="4" t="inlineStr">
        <is>
          <t>Munich</t>
        </is>
      </c>
      <c r="E3" s="4" t="inlineStr">
        <is>
          <t>Arrive MUC ~9–10 am; S-Bahn to city; hotel check-in</t>
        </is>
      </c>
      <c r="F3" s="4" t="inlineStr">
        <is>
          <t>Marienplatz; Viktualienmarkt; Glockenspiel at noon</t>
        </is>
      </c>
      <c r="G3" s="4" t="inlineStr">
        <is>
          <t>Englischer Garten + Eisbach surfers; beer garden dinner</t>
        </is>
      </c>
      <c r="H3" s="4" t="inlineStr">
        <is>
          <t>S-Bahn S1/S8</t>
        </is>
      </c>
      <c r="I3" s="4" t="inlineStr">
        <is>
          <t>40–50 min</t>
        </is>
      </c>
      <c r="J3" s="4" t="inlineStr">
        <is>
          <t>N</t>
        </is>
      </c>
      <c r="K3" s="4" t="inlineStr">
        <is>
          <t>N</t>
        </is>
      </c>
      <c r="L3" s="4" t="inlineStr">
        <is>
          <t>Hotel pool/nap day</t>
        </is>
      </c>
      <c r="M3" s="5" t="n">
        <v>300</v>
      </c>
      <c r="N3" s="4" t="inlineStr">
        <is>
          <t>Eisbach river surfers free; a genuine teen highlight</t>
        </is>
      </c>
    </row>
    <row r="4">
      <c r="A4" s="2" t="n">
        <v>3</v>
      </c>
      <c r="B4" s="2" t="inlineStr">
        <is>
          <t>Mon Jul 13</t>
        </is>
      </c>
      <c r="C4" s="2" t="inlineStr">
        <is>
          <t>Munich</t>
        </is>
      </c>
      <c r="D4" s="2" t="inlineStr">
        <is>
          <t>Munich</t>
        </is>
      </c>
      <c r="E4" s="2" t="inlineStr">
        <is>
          <t>Deutsches Museum (4–5 hrs; €15/adult; €4.50/youth)</t>
        </is>
      </c>
      <c r="F4" s="2" t="inlineStr">
        <is>
          <t>BMW Welt (free) + BMW Museum (€10/adult)</t>
        </is>
      </c>
      <c r="G4" s="2" t="inlineStr">
        <is>
          <t>Hofbräuhaus or neighborhood beer garden</t>
        </is>
      </c>
      <c r="H4" s="2" t="inlineStr">
        <is>
          <t>Local U-Bahn</t>
        </is>
      </c>
      <c r="I4" s="2" t="inlineStr">
        <is>
          <t>Local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Extra museum day; Alte Pinakothek alternative</t>
        </is>
      </c>
      <c r="M4" s="3" t="n">
        <v>380</v>
      </c>
      <c r="N4" s="2" t="inlineStr">
        <is>
          <t>BMW Welt is free and worth 2 hrs even for non-car people</t>
        </is>
      </c>
    </row>
    <row r="5">
      <c r="A5" s="4" t="n">
        <v>4</v>
      </c>
      <c r="B5" s="4" t="inlineStr">
        <is>
          <t>Tue Jul 14</t>
        </is>
      </c>
      <c r="C5" s="4" t="inlineStr">
        <is>
          <t>Munich → Mittenwald</t>
        </is>
      </c>
      <c r="D5" s="4" t="inlineStr">
        <is>
          <t>Mittenwald</t>
        </is>
      </c>
      <c r="E5" s="4" t="inlineStr">
        <is>
          <t>RB6 train to Mittenwald (1h 50m)</t>
        </is>
      </c>
      <c r="F5" s="4" t="inlineStr">
        <is>
          <t>Lüftlmalerei painted houses; Geigenbaumuseum (€5.50)</t>
        </is>
      </c>
      <c r="G5" s="4" t="inlineStr">
        <is>
          <t>Karwendelbahn cable car at sunset (optional; free under 15); dinner at Gasthof</t>
        </is>
      </c>
      <c r="H5" s="4" t="inlineStr">
        <is>
          <t>Bayern-Ticket + RB6</t>
        </is>
      </c>
      <c r="I5" s="4" t="inlineStr">
        <is>
          <t>1h 50m</t>
        </is>
      </c>
      <c r="J5" s="4" t="inlineStr">
        <is>
          <t>Y (Bayern-Ticket)</t>
        </is>
      </c>
      <c r="K5" s="4" t="inlineStr">
        <is>
          <t>N</t>
        </is>
      </c>
      <c r="L5" s="4" t="inlineStr">
        <is>
          <t>Slow afternoon if tired</t>
        </is>
      </c>
      <c r="M5" s="5" t="n">
        <v>400</v>
      </c>
      <c r="N5" s="4" t="inlineStr">
        <is>
          <t>Bayern-Ticket: 14yo rides free; 17yo = adult; €49/family</t>
        </is>
      </c>
    </row>
    <row r="6">
      <c r="A6" s="2" t="n">
        <v>5</v>
      </c>
      <c r="B6" s="2" t="inlineStr">
        <is>
          <t>Wed Jul 15</t>
        </is>
      </c>
      <c r="C6" s="2" t="inlineStr">
        <is>
          <t>Garmisch day trip</t>
        </is>
      </c>
      <c r="D6" s="2" t="inlineStr">
        <is>
          <t>Mittenwald</t>
        </is>
      </c>
      <c r="E6" s="2" t="inlineStr">
        <is>
          <t>RB train to Garmisch (~20 min); Partnach Gorge (€7/adult)</t>
        </is>
      </c>
      <c r="F6" s="2" t="inlineStr">
        <is>
          <t>Alpspitzbahn panorama (~€30/adult) or summer luge</t>
        </is>
      </c>
      <c r="G6" s="2" t="inlineStr">
        <is>
          <t>Return to Mittenwald; dinner</t>
        </is>
      </c>
      <c r="H6" s="2" t="inlineStr">
        <is>
          <t>Bayern-Ticket + regional train</t>
        </is>
      </c>
      <c r="I6" s="2" t="inlineStr">
        <is>
          <t>20 min each way</t>
        </is>
      </c>
      <c r="J6" s="2" t="inlineStr">
        <is>
          <t>Y (Bayern-Ticket)</t>
        </is>
      </c>
      <c r="K6" s="2" t="inlineStr">
        <is>
          <t>N</t>
        </is>
      </c>
      <c r="L6" s="2" t="inlineStr">
        <is>
          <t>Easy valley walk in Garmisch if crowded</t>
        </is>
      </c>
      <c r="M6" s="3" t="n">
        <v>380</v>
      </c>
      <c r="N6" s="2" t="inlineStr">
        <is>
          <t>Partnach Gorge is underrated; good in heat</t>
        </is>
      </c>
    </row>
    <row r="7">
      <c r="A7" s="4" t="n">
        <v>6</v>
      </c>
      <c r="B7" s="4" t="inlineStr">
        <is>
          <t>Thu Jul 16</t>
        </is>
      </c>
      <c r="C7" s="4" t="inlineStr">
        <is>
          <t>Zugspitze or Leutaschklamm</t>
        </is>
      </c>
      <c r="D7" s="4" t="inlineStr">
        <is>
          <t>Mittenwald</t>
        </is>
      </c>
      <c r="E7" s="4" t="inlineStr">
        <is>
          <t>Check zugspitze.de webcam at 7 am. Clear → Zugspitze cogwheel + cable car (~$195 family). Socked in → Leutaschklamm gorge (€5/adult)</t>
        </is>
      </c>
      <c r="F7" s="4" t="inlineStr">
        <is>
          <t>Summit/gorge; Eibsee for swim if Zugspitze</t>
        </is>
      </c>
      <c r="G7" s="4" t="inlineStr">
        <is>
          <t>Lautersee or Ferchensee lake swim; dinner</t>
        </is>
      </c>
      <c r="H7" s="4" t="inlineStr">
        <is>
          <t>Bayern-Ticket + cogwheel train</t>
        </is>
      </c>
      <c r="I7" s="4" t="inlineStr">
        <is>
          <t>1.5 hrs to summit from Garmisch</t>
        </is>
      </c>
      <c r="J7" s="4" t="inlineStr">
        <is>
          <t>Y (cable car tickets)</t>
        </is>
      </c>
      <c r="K7" s="4" t="inlineStr">
        <is>
          <t>Y (Zugspitze critical)</t>
        </is>
      </c>
      <c r="L7" s="4" t="inlineStr">
        <is>
          <t>Leutaschklamm + Lautersee lake swim (equally good day)</t>
        </is>
      </c>
      <c r="M7" s="5" t="n">
        <v>560</v>
      </c>
      <c r="N7" s="4" t="inlineStr">
        <is>
          <t>Never commit to Zugspitze without checking the webcam that morning</t>
        </is>
      </c>
    </row>
    <row r="8">
      <c r="A8" s="2" t="n">
        <v>7</v>
      </c>
      <c r="B8" s="2" t="inlineStr">
        <is>
          <t>Fri Jul 17</t>
        </is>
      </c>
      <c r="C8" s="2" t="inlineStr">
        <is>
          <t>Mittenwald → Berchtesgaden</t>
        </is>
      </c>
      <c r="D8" s="2" t="inlineStr">
        <is>
          <t>Berchtesgaden</t>
        </is>
      </c>
      <c r="E8" s="2" t="inlineStr">
        <is>
          <t>Mittenwald → Munich (1h 50m) + Munich → Berchtesgaden via Freilassing (2h 30m)</t>
        </is>
      </c>
      <c r="F8" s="2" t="inlineStr">
        <is>
          <t>Arrive mid-afternoon; Old Town walk; Royal Palace square</t>
        </is>
      </c>
      <c r="G8" s="2" t="inlineStr">
        <is>
          <t>Local dinner; early night</t>
        </is>
      </c>
      <c r="H8" s="2" t="inlineStr">
        <is>
          <t>Bayern-Ticket + regional rail</t>
        </is>
      </c>
      <c r="I8" s="2" t="inlineStr">
        <is>
          <t>4h 20m total</t>
        </is>
      </c>
      <c r="J8" s="2" t="inlineStr">
        <is>
          <t>Y (Bayern-Ticket)</t>
        </is>
      </c>
      <c r="K8" s="2" t="inlineStr">
        <is>
          <t>N</t>
        </is>
      </c>
      <c r="L8" s="2" t="inlineStr">
        <is>
          <t>Break in Munich midway if needed</t>
        </is>
      </c>
      <c r="M8" s="3" t="n">
        <v>350</v>
      </c>
      <c r="N8" s="2" t="inlineStr">
        <is>
          <t>Longest luggage day; start ~9 am</t>
        </is>
      </c>
    </row>
    <row r="9">
      <c r="A9" s="4" t="n">
        <v>8</v>
      </c>
      <c r="B9" s="4" t="inlineStr">
        <is>
          <t>Sat Jul 18</t>
        </is>
      </c>
      <c r="C9" s="4" t="inlineStr">
        <is>
          <t>Königssee</t>
        </is>
      </c>
      <c r="D9" s="4" t="inlineStr">
        <is>
          <t>Berchtesgaden</t>
        </is>
      </c>
      <c r="E9" s="4" t="inlineStr">
        <is>
          <t>Bus 841 to Königssee dock (~10 min); first electric boat to St. Bartholomä — cliff-echo flugelhorn</t>
        </is>
      </c>
      <c r="F9" s="4" t="inlineStr">
        <is>
          <t>Hike Salet → Obersee (1.5 km; hidden glacial lake beyond the crowds)</t>
        </is>
      </c>
      <c r="G9" s="4" t="inlineStr">
        <is>
          <t>Return by boat; optional salt mine tour (€23/adult)</t>
        </is>
      </c>
      <c r="H9" s="4" t="inlineStr">
        <is>
          <t>Bus 841 + electric boat</t>
        </is>
      </c>
      <c r="I9" s="4" t="inlineStr">
        <is>
          <t>10 min bus + 35 min each way boat</t>
        </is>
      </c>
      <c r="J9" s="4" t="inlineStr">
        <is>
          <t>Y (tickets at dock)</t>
        </is>
      </c>
      <c r="K9" s="4" t="inlineStr">
        <is>
          <t>Y (weather-dependent)</t>
        </is>
      </c>
      <c r="L9" s="4" t="inlineStr">
        <is>
          <t>Documentation Center Obersalzberg (indoor)</t>
        </is>
      </c>
      <c r="M9" s="5" t="n">
        <v>400</v>
      </c>
      <c r="N9" s="4" t="inlineStr">
        <is>
          <t>Take first morning boat; crowds build fast after 10 am</t>
        </is>
      </c>
    </row>
    <row r="10">
      <c r="A10" s="2" t="n">
        <v>9</v>
      </c>
      <c r="B10" s="2" t="inlineStr">
        <is>
          <t>Sun Jul 19</t>
        </is>
      </c>
      <c r="C10" s="2" t="inlineStr">
        <is>
          <t>Eagle's Nest + Salzburg</t>
        </is>
      </c>
      <c r="D10" s="2" t="inlineStr">
        <is>
          <t>Salzburg</t>
        </is>
      </c>
      <c r="E10" s="2" t="inlineStr">
        <is>
          <t>Bus 838; Documentation Center Obersalzberg (€6/adult); Kehlstein bus + tunnel elevator to Eagle's Nest (€36.10/adult; €21/youth; credit card only)</t>
        </is>
      </c>
      <c r="F10" s="2" t="inlineStr">
        <is>
          <t>Lunch at Kehlsteinhaus with Watzmann views</t>
        </is>
      </c>
      <c r="G10" s="2" t="inlineStr">
        <is>
          <t>Bus 840 Watzmann Express to Salzburg (50 min; ~€11/adult); Old Town evening stroll</t>
        </is>
      </c>
      <c r="H10" s="2" t="inlineStr">
        <is>
          <t>Bus 838 + Kehlstein bus + Bus 840</t>
        </is>
      </c>
      <c r="I10" s="2" t="inlineStr">
        <is>
          <t>~2 hrs activity + 50 min transfer</t>
        </is>
      </c>
      <c r="J10" s="2" t="inlineStr">
        <is>
          <t>Y (Eagle's Nest seasonal)</t>
        </is>
      </c>
      <c r="K10" s="2" t="inlineStr">
        <is>
          <t>Y (closes in cloud/wind)</t>
        </is>
      </c>
      <c r="L10" s="2" t="inlineStr">
        <is>
          <t>Königssee 2nd day or Ramsau valley hike</t>
        </is>
      </c>
      <c r="M10" s="3" t="n">
        <v>510</v>
      </c>
      <c r="N10" s="2" t="inlineStr">
        <is>
          <t>Eagle's Nest is historically moving; one of the best teen experiences on the trip</t>
        </is>
      </c>
    </row>
    <row r="11">
      <c r="A11" s="4" t="n">
        <v>10</v>
      </c>
      <c r="B11" s="4" t="inlineStr">
        <is>
          <t>Mon Jul 20</t>
        </is>
      </c>
      <c r="C11" s="4" t="inlineStr">
        <is>
          <t>Salzburg</t>
        </is>
      </c>
      <c r="D11" s="4" t="inlineStr">
        <is>
          <t>Salzburg</t>
        </is>
      </c>
      <c r="E11" s="4" t="inlineStr">
        <is>
          <t>Hohensalzburg Fortress funicular (€14.50/adult; €8.30/youth)</t>
        </is>
      </c>
      <c r="F11" s="4" t="inlineStr">
        <is>
          <t>Mirabell Gardens (free); Mozart's Birthplace (€13.50/adult); Getreidegasse stroll</t>
        </is>
      </c>
      <c r="G11" s="4" t="inlineStr">
        <is>
          <t>St. Peter Stiftskeller dinner (Europe's oldest restaurant; book ahead)</t>
        </is>
      </c>
      <c r="H11" s="4" t="inlineStr">
        <is>
          <t>Walk + local bus</t>
        </is>
      </c>
      <c r="I11" s="4" t="inlineStr">
        <is>
          <t>Local</t>
        </is>
      </c>
      <c r="J11" s="4" t="inlineStr">
        <is>
          <t>Y (restaurant)</t>
        </is>
      </c>
      <c r="K11" s="4" t="inlineStr">
        <is>
          <t>N</t>
        </is>
      </c>
      <c r="L11" s="4" t="inlineStr">
        <is>
          <t>Salzburg Card if doing 3+ paid sites</t>
        </is>
      </c>
      <c r="M11" s="5" t="n">
        <v>480</v>
      </c>
      <c r="N11" s="4" t="inlineStr">
        <is>
          <t>Compact walkable city; one of the most enjoyable low-effort days on this trip</t>
        </is>
      </c>
    </row>
    <row r="12">
      <c r="A12" s="2" t="n">
        <v>11</v>
      </c>
      <c r="B12" s="2" t="inlineStr">
        <is>
          <t>Tue Jul 21</t>
        </is>
      </c>
      <c r="C12" s="2" t="inlineStr">
        <is>
          <t>Salzburg → Munich → DC</t>
        </is>
      </c>
      <c r="D12" s="2" t="inlineStr">
        <is>
          <t>At home</t>
        </is>
      </c>
      <c r="E12" s="2" t="inlineStr">
        <is>
          <t>ÖBB Railjet 06:23 or 07:11 Salzburg → Munich (1h 28m; book seat reservation ~$30/pp, 3–4 wks ahead)</t>
        </is>
      </c>
      <c r="F12" s="2" t="inlineStr">
        <is>
          <t>S-Bahn S1/S8 to MUC airport (40 min); fly home</t>
        </is>
      </c>
      <c r="G12" s="2" t="inlineStr">
        <is>
          <t>Arrive DC</t>
        </is>
      </c>
      <c r="H12" s="2" t="inlineStr">
        <is>
          <t>Railjet + S-Bahn</t>
        </is>
      </c>
      <c r="I12" s="2" t="inlineStr">
        <is>
          <t>2h 10m total</t>
        </is>
      </c>
      <c r="J12" s="2" t="inlineStr">
        <is>
          <t>Y (Railjet reservation)</t>
        </is>
      </c>
      <c r="K12" s="2" t="inlineStr">
        <is>
          <t>N</t>
        </is>
      </c>
      <c r="L12" s="2" t="inlineStr">
        <is>
          <t>None</t>
        </is>
      </c>
      <c r="M12" s="3" t="n">
        <v>170</v>
      </c>
      <c r="N12" s="2" t="inlineStr">
        <is>
          <t>Leave Salzburg by 7:15 am for a midday MUC departure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2" customWidth="1" min="4" max="4"/>
    <col width="42" customWidth="1" min="5" max="5"/>
    <col width="40" customWidth="1" min="6" max="6"/>
    <col width="36" customWidth="1" min="7" max="7"/>
    <col width="26" customWidth="1" min="8" max="8"/>
    <col width="16" customWidth="1" min="9" max="9"/>
    <col width="12" customWidth="1" min="10" max="10"/>
    <col width="18" customWidth="1" min="11" max="11"/>
    <col width="36" customWidth="1" min="12" max="12"/>
    <col width="16" customWidth="1" min="13" max="13"/>
    <col width="44" customWidth="1" min="14" max="14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Overnight</t>
        </is>
      </c>
      <c r="E1" s="1" t="inlineStr">
        <is>
          <t>Morning</t>
        </is>
      </c>
      <c r="F1" s="1" t="inlineStr">
        <is>
          <t>Afternoon</t>
        </is>
      </c>
      <c r="G1" s="1" t="inlineStr">
        <is>
          <t>Evening</t>
        </is>
      </c>
      <c r="H1" s="1" t="inlineStr">
        <is>
          <t>Transport</t>
        </is>
      </c>
      <c r="I1" s="1" t="inlineStr">
        <is>
          <t>Travel Time</t>
        </is>
      </c>
      <c r="J1" s="1" t="inlineStr">
        <is>
          <t>Book Ahead</t>
        </is>
      </c>
      <c r="K1" s="1" t="inlineStr">
        <is>
          <t>Weather Sensitive</t>
        </is>
      </c>
      <c r="L1" s="1" t="inlineStr">
        <is>
          <t>Backup Option</t>
        </is>
      </c>
      <c r="M1" s="1" t="inlineStr">
        <is>
          <t>Est. Daily Cost (Family USD)</t>
        </is>
      </c>
      <c r="N1" s="1" t="inlineStr">
        <is>
          <t>Notes</t>
        </is>
      </c>
    </row>
    <row r="2">
      <c r="A2" s="2" t="n">
        <v>1</v>
      </c>
      <c r="B2" s="2" t="inlineStr">
        <is>
          <t>Sat Jul 11</t>
        </is>
      </c>
      <c r="C2" s="2" t="inlineStr">
        <is>
          <t>DC → St. Lucia</t>
        </is>
      </c>
      <c r="D2" s="2" t="inlineStr">
        <is>
          <t>Soufrière (B) / Coconut Bay (A)</t>
        </is>
      </c>
      <c r="E2" s="2" t="inlineStr">
        <is>
          <t>Drive to PHL; AA nonstop afternoon flight</t>
        </is>
      </c>
      <c r="F2" s="2" t="inlineStr">
        <is>
          <t>Arrive UVF ~6–7 pm; transfer to lodging</t>
        </is>
      </c>
      <c r="G2" s="2" t="inlineStr">
        <is>
          <t>Welcome dinner; early sleep</t>
        </is>
      </c>
      <c r="H2" s="2" t="inlineStr">
        <is>
          <t>PHL→UVF AA nonstop</t>
        </is>
      </c>
      <c r="I2" s="2" t="inlineStr">
        <is>
          <t>4h 45m + 50 min transfer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Airport-area overnight if very late</t>
        </is>
      </c>
      <c r="M2" s="3" t="n">
        <v>320</v>
      </c>
      <c r="N2" s="2" t="inlineStr">
        <is>
          <t>Full 10 nights on island; same-day arrival is key advantage over Europe</t>
        </is>
      </c>
    </row>
    <row r="3">
      <c r="A3" s="4" t="n">
        <v>2</v>
      </c>
      <c r="B3" s="4" t="inlineStr">
        <is>
          <t>Sun Jul 12</t>
        </is>
      </c>
      <c r="C3" s="4" t="inlineStr">
        <is>
          <t>Soufrière</t>
        </is>
      </c>
      <c r="D3" s="4" t="inlineStr">
        <is>
          <t>Soufrière area</t>
        </is>
      </c>
      <c r="E3" s="4" t="inlineStr">
        <is>
          <t>Recovery day: villa pool or resort beach</t>
        </is>
      </c>
      <c r="F3" s="4" t="inlineStr">
        <is>
          <t>Light explore of Soufrière town; local lunch</t>
        </is>
      </c>
      <c r="G3" s="4" t="inlineStr">
        <is>
          <t>Piton-view dinner at local restaurant</t>
        </is>
      </c>
      <c r="H3" s="4" t="inlineStr">
        <is>
          <t>Walk / short taxi</t>
        </is>
      </c>
      <c r="I3" s="4" t="inlineStr">
        <is>
          <t>Local</t>
        </is>
      </c>
      <c r="J3" s="4" t="inlineStr">
        <is>
          <t>N</t>
        </is>
      </c>
      <c r="K3" s="4" t="inlineStr">
        <is>
          <t>Y (modest)</t>
        </is>
      </c>
      <c r="L3" s="4" t="inlineStr">
        <is>
          <t>Fully unprogrammed rest day</t>
        </is>
      </c>
      <c r="M3" s="5" t="n">
        <v>300</v>
      </c>
      <c r="N3" s="4" t="inlineStr">
        <is>
          <t>Protect this day from over-programming; the family needs to settle in</t>
        </is>
      </c>
    </row>
    <row r="4">
      <c r="A4" s="2" t="n">
        <v>3</v>
      </c>
      <c r="B4" s="2" t="inlineStr">
        <is>
          <t>Mon Jul 13</t>
        </is>
      </c>
      <c r="C4" s="2" t="inlineStr">
        <is>
          <t>Soufrière highlights</t>
        </is>
      </c>
      <c r="D4" s="2" t="inlineStr">
        <is>
          <t>Soufrière area</t>
        </is>
      </c>
      <c r="E4" s="2" t="inlineStr">
        <is>
          <t>Sulphur Springs drive-in volcano (~$10/pp + $5 mud bath)</t>
        </is>
      </c>
      <c r="F4" s="2" t="inlineStr">
        <is>
          <t>Toraille Waterfall ($5/pp) + Diamond Botanical Gardens + Mineral Baths ($10/adult)</t>
        </is>
      </c>
      <c r="G4" s="2" t="inlineStr">
        <is>
          <t>Local dinner in Soufrière</t>
        </is>
      </c>
      <c r="H4" s="2" t="inlineStr">
        <is>
          <t>Half-day driver (~$80 family)</t>
        </is>
      </c>
      <c r="I4" s="2" t="inlineStr">
        <is>
          <t>Half-day</t>
        </is>
      </c>
      <c r="J4" s="2" t="inlineStr">
        <is>
          <t>Y (driver)</t>
        </is>
      </c>
      <c r="K4" s="2" t="inlineStr">
        <is>
          <t>Y (mild)</t>
        </is>
      </c>
      <c r="L4" s="2" t="inlineStr">
        <is>
          <t>Swap with Tet Paul Nature Trail if energy low</t>
        </is>
      </c>
      <c r="M4" s="3" t="n">
        <v>430</v>
      </c>
      <c r="N4" s="2" t="inlineStr">
        <is>
          <t>Hire one driver for all three sites; best all-in-one iconic SL day</t>
        </is>
      </c>
    </row>
    <row r="5">
      <c r="A5" s="4" t="n">
        <v>4</v>
      </c>
      <c r="B5" s="4" t="inlineStr">
        <is>
          <t>Tue Jul 14</t>
        </is>
      </c>
      <c r="C5" s="4" t="inlineStr">
        <is>
          <t>Gros Piton hike</t>
        </is>
      </c>
      <c r="D5" s="4" t="inlineStr">
        <is>
          <t>Soufrière area</t>
        </is>
      </c>
      <c r="E5" s="4" t="inlineStr">
        <is>
          <t>6:30 am pickup; Gros Piton summit hike (3.5–4 hrs RT; $50/pp trail fee + mandatory guide)</t>
        </is>
      </c>
      <c r="F5" s="4" t="inlineStr">
        <is>
          <t>Descend; lunch in Soufrière</t>
        </is>
      </c>
      <c r="G5" s="4" t="inlineStr">
        <is>
          <t>Pool recovery; early dinner</t>
        </is>
      </c>
      <c r="H5" s="4" t="inlineStr">
        <is>
          <t>Prebooked transfer</t>
        </is>
      </c>
      <c r="I5" s="4" t="inlineStr">
        <is>
          <t>45 min to trailhead</t>
        </is>
      </c>
      <c r="J5" s="4" t="inlineStr">
        <is>
          <t>Y (guide required)</t>
        </is>
      </c>
      <c r="K5" s="4" t="inlineStr">
        <is>
          <t>Y (not in heavy rain)</t>
        </is>
      </c>
      <c r="L5" s="4" t="inlineStr">
        <is>
          <t>Tet Paul Nature Trail as lower-intensity alternative</t>
        </is>
      </c>
      <c r="M5" s="5" t="n">
        <v>440</v>
      </c>
      <c r="N5" s="4" t="inlineStr">
        <is>
          <t>Mandatory guide is a plus — they know the mountain and the flora</t>
        </is>
      </c>
    </row>
    <row r="6">
      <c r="A6" s="2" t="n">
        <v>5</v>
      </c>
      <c r="B6" s="2" t="inlineStr">
        <is>
          <t>Wed Jul 15</t>
        </is>
      </c>
      <c r="C6" s="2" t="inlineStr">
        <is>
          <t>Full-day catamaran</t>
        </is>
      </c>
      <c r="D6" s="2" t="inlineStr">
        <is>
          <t>Soufrière area</t>
        </is>
      </c>
      <c r="E6" s="2" t="inlineStr">
        <is>
          <t>Sea Spray 'Tout Bagay' or equivalent (~$140/adult; $80/child); departs Rodney Bay or Marigot Bay — Soufrière by sea; Sulphur Springs; Anse Cochon snorkel; open bar</t>
        </is>
      </c>
      <c r="F6" s="2" t="inlineStr">
        <is>
          <t>Continue cruise</t>
        </is>
      </c>
      <c r="G6" s="2" t="inlineStr">
        <is>
          <t>Return early evening; resort/villa dinner</t>
        </is>
      </c>
      <c r="H6" s="2" t="inlineStr">
        <is>
          <t>Prebooked catamaran</t>
        </is>
      </c>
      <c r="I6" s="2" t="inlineStr">
        <is>
          <t>Full day</t>
        </is>
      </c>
      <c r="J6" s="2" t="inlineStr">
        <is>
          <t>Y (1–2 wks ahead)</t>
        </is>
      </c>
      <c r="K6" s="2" t="inlineStr">
        <is>
          <t>Y (seas must be calm)</t>
        </is>
      </c>
      <c r="L6" s="2" t="inlineStr">
        <is>
          <t>Land-based Soufrière tour if seas rough</t>
        </is>
      </c>
      <c r="M6" s="3" t="n">
        <v>600</v>
      </c>
      <c r="N6" s="2" t="inlineStr">
        <is>
          <t>Book early; this is the best teen day on the island</t>
        </is>
      </c>
    </row>
    <row r="7">
      <c r="A7" s="4" t="n">
        <v>6</v>
      </c>
      <c r="B7" s="4" t="inlineStr">
        <is>
          <t>Thu Jul 16</t>
        </is>
      </c>
      <c r="C7" s="4" t="inlineStr">
        <is>
          <t>Rainforest zip-line</t>
        </is>
      </c>
      <c r="D7" s="4" t="inlineStr">
        <is>
          <t>Soufrière area</t>
        </is>
      </c>
      <c r="E7" s="4" t="inlineStr">
        <is>
          <t>Rainforest Adventures aerial tram + zip-line or Morne Coubaril Estate zip-line with cocoa tour (~$90–95/adult; $75/youth; min age 8; max 290 lbs)</t>
        </is>
      </c>
      <c r="F7" s="4" t="inlineStr">
        <is>
          <t>Villa or resort pool; afternoon downtime</t>
        </is>
      </c>
      <c r="G7" s="4" t="inlineStr">
        <is>
          <t>Casual dinner; pack for transfer</t>
        </is>
      </c>
      <c r="H7" s="4" t="inlineStr">
        <is>
          <t>Prebooked shuttle</t>
        </is>
      </c>
      <c r="I7" s="4" t="inlineStr">
        <is>
          <t>~30–45 min</t>
        </is>
      </c>
      <c r="J7" s="4" t="inlineStr">
        <is>
          <t>Y</t>
        </is>
      </c>
      <c r="K7" s="4" t="inlineStr">
        <is>
          <t>Y (avoid lightning)</t>
        </is>
      </c>
      <c r="L7" s="4" t="inlineStr">
        <is>
          <t>Cocoa estate tour only if weather poor</t>
        </is>
      </c>
      <c r="M7" s="5" t="n">
        <v>440</v>
      </c>
      <c r="N7" s="4" t="inlineStr">
        <is>
          <t>Morne Coubaril combines zip-line with cocoa estate for cultural depth</t>
        </is>
      </c>
    </row>
    <row r="8">
      <c r="A8" s="2" t="n">
        <v>7</v>
      </c>
      <c r="B8" s="2" t="inlineStr">
        <is>
          <t>Fri Jul 17</t>
        </is>
      </c>
      <c r="C8" s="2" t="inlineStr">
        <is>
          <t>Soufrière → Rodney Bay</t>
        </is>
      </c>
      <c r="D8" s="2" t="inlineStr">
        <is>
          <t>Rodney Bay area</t>
        </is>
      </c>
      <c r="E8" s="2" t="inlineStr">
        <is>
          <t>Late breakfast; optional Tet Paul Nature Trail en route ($10/pp; easy 45-min; best dual-Piton panoramic view)</t>
        </is>
      </c>
      <c r="F8" s="2" t="inlineStr">
        <is>
          <t>Transfer north to Bay Gardens Beach Resort (~2 hrs by road or catamaran water taxi)</t>
        </is>
      </c>
      <c r="G8" s="2" t="inlineStr">
        <is>
          <t>Anse La Raye Fish Fry (local village; grilled lobster; breadfruit; rum punch; best food experience on island)</t>
        </is>
      </c>
      <c r="H8" s="2" t="inlineStr">
        <is>
          <t>Private taxi or catamaran water taxi</t>
        </is>
      </c>
      <c r="I8" s="2" t="inlineStr">
        <is>
          <t>1.5–2 hrs</t>
        </is>
      </c>
      <c r="J8" s="2" t="inlineStr">
        <is>
          <t>Y (resort; Fish Fry)</t>
        </is>
      </c>
      <c r="K8" s="2" t="inlineStr">
        <is>
          <t>Y (mild)</t>
        </is>
      </c>
      <c r="L8" s="2" t="inlineStr">
        <is>
          <t>Skip Tet Paul; go straight north</t>
        </is>
      </c>
      <c r="M8" s="3" t="n">
        <v>400</v>
      </c>
      <c r="N8" s="2" t="inlineStr">
        <is>
          <t>Anse La Raye Fish Fry runs Friday and Saturday; arrange return transport ($30–40)</t>
        </is>
      </c>
    </row>
    <row r="9">
      <c r="A9" s="4" t="n">
        <v>8</v>
      </c>
      <c r="B9" s="4" t="inlineStr">
        <is>
          <t>Sat Jul 18</t>
        </is>
      </c>
      <c r="C9" s="4" t="inlineStr">
        <is>
          <t>Rodney Bay / Gros Islet</t>
        </is>
      </c>
      <c r="D9" s="4" t="inlineStr">
        <is>
          <t>Rodney Bay area</t>
        </is>
      </c>
      <c r="E9" s="4" t="inlineStr">
        <is>
          <t>Reduit Beach morning</t>
        </is>
      </c>
      <c r="F9" s="4" t="inlineStr">
        <is>
          <t>Pigeon Island National Park ($11/adult; Fort Rodney ruins; 18th-century cannons)</t>
        </is>
      </c>
      <c r="G9" s="4" t="inlineStr">
        <is>
          <t>Jambe de Bois café at Pigeon Island; marina sundowners</t>
        </is>
      </c>
      <c r="H9" s="4" t="inlineStr">
        <is>
          <t>Short taxi</t>
        </is>
      </c>
      <c r="I9" s="4" t="inlineStr">
        <is>
          <t>15 min each way</t>
        </is>
      </c>
      <c r="J9" s="4" t="inlineStr">
        <is>
          <t>N</t>
        </is>
      </c>
      <c r="K9" s="4" t="inlineStr">
        <is>
          <t>Y (mild)</t>
        </is>
      </c>
      <c r="L9" s="4" t="inlineStr">
        <is>
          <t>Extra beach day at Reduit</t>
        </is>
      </c>
      <c r="M9" s="5" t="n">
        <v>300</v>
      </c>
      <c r="N9" s="4" t="inlineStr">
        <is>
          <t>Pigeon Island is underrated; teens like the fort ruins</t>
        </is>
      </c>
    </row>
    <row r="10">
      <c r="A10" s="2" t="n">
        <v>9</v>
      </c>
      <c r="B10" s="2" t="inlineStr">
        <is>
          <t>Sun Jul 19</t>
        </is>
      </c>
      <c r="C10" s="2" t="inlineStr">
        <is>
          <t>Snorkel + downtime</t>
        </is>
      </c>
      <c r="D10" s="2" t="inlineStr">
        <is>
          <t>Rodney Bay area</t>
        </is>
      </c>
      <c r="E10" s="2" t="inlineStr">
        <is>
          <t>Anse Chastanet snorkel (boat transfer ~$40/pp; turtles; parrotfish; reef drops off beach)</t>
        </is>
      </c>
      <c r="F10" s="2" t="inlineStr">
        <is>
          <t>Afternoon beach club; sunbeds; beach bar</t>
        </is>
      </c>
      <c r="G10" s="2" t="inlineStr">
        <is>
          <t>Sunset dinner at marina restaurant</t>
        </is>
      </c>
      <c r="H10" s="2" t="inlineStr">
        <is>
          <t>Boat or taxi</t>
        </is>
      </c>
      <c r="I10" s="2" t="inlineStr">
        <is>
          <t>30–45 min to Anse Chastanet</t>
        </is>
      </c>
      <c r="J10" s="2" t="inlineStr">
        <is>
          <t>Optional</t>
        </is>
      </c>
      <c r="K10" s="2" t="inlineStr">
        <is>
          <t>Y (visibility-dependent)</t>
        </is>
      </c>
      <c r="L10" s="2" t="inlineStr">
        <is>
          <t>Pure resort beach day</t>
        </is>
      </c>
      <c r="M10" s="3" t="n">
        <v>380</v>
      </c>
      <c r="N10" s="2" t="inlineStr">
        <is>
          <t>Anse Chastanet reef is worth the transfer</t>
        </is>
      </c>
    </row>
    <row r="11">
      <c r="A11" s="4" t="n">
        <v>10</v>
      </c>
      <c r="B11" s="4" t="inlineStr">
        <is>
          <t>Mon Jul 20</t>
        </is>
      </c>
      <c r="C11" s="4" t="inlineStr">
        <is>
          <t>Reserve / flexible</t>
        </is>
      </c>
      <c r="D11" s="4" t="inlineStr">
        <is>
          <t>Rodney Bay area</t>
        </is>
      </c>
      <c r="E11" s="4" t="inlineStr">
        <is>
          <t>Weather makeup day or pure downtime — pre-book nothing</t>
        </is>
      </c>
      <c r="F11" s="4" t="inlineStr">
        <is>
          <t>Shopping; final swim; Castries market visit</t>
        </is>
      </c>
      <c r="G11" s="4" t="inlineStr">
        <is>
          <t>Farewell dinner; pack</t>
        </is>
      </c>
      <c r="H11" s="4" t="inlineStr">
        <is>
          <t>Local</t>
        </is>
      </c>
      <c r="I11" s="4" t="inlineStr">
        <is>
          <t>Local</t>
        </is>
      </c>
      <c r="J11" s="4" t="inlineStr">
        <is>
          <t>N</t>
        </is>
      </c>
      <c r="K11" s="4" t="inlineStr">
        <is>
          <t>Y</t>
        </is>
      </c>
      <c r="L11" s="4" t="inlineStr">
        <is>
          <t>Leave unplanned by design</t>
        </is>
      </c>
      <c r="M11" s="5" t="n">
        <v>270</v>
      </c>
      <c r="N11" s="4" t="inlineStr">
        <is>
          <t>Most important day to protect from pre-programming in July hurricane season</t>
        </is>
      </c>
    </row>
    <row r="12">
      <c r="A12" s="2" t="n">
        <v>11</v>
      </c>
      <c r="B12" s="2" t="inlineStr">
        <is>
          <t>Tue Jul 21</t>
        </is>
      </c>
      <c r="C12" s="2" t="inlineStr">
        <is>
          <t>St. Lucia → DC</t>
        </is>
      </c>
      <c r="D12" s="2" t="inlineStr">
        <is>
          <t>At home</t>
        </is>
      </c>
      <c r="E12" s="2" t="inlineStr">
        <is>
          <t>Resort shuttle to UVF (~1.5 hrs from Rodney Bay)</t>
        </is>
      </c>
      <c r="F12" s="2" t="inlineStr">
        <is>
          <t>AA nonstop UVF → PHL (~4h 45m); arrive ~7 pm; drive home</t>
        </is>
      </c>
      <c r="G12" s="2" t="inlineStr">
        <is>
          <t>At home</t>
        </is>
      </c>
      <c r="H12" s="2" t="inlineStr">
        <is>
          <t>Taxi + AA nonstop</t>
        </is>
      </c>
      <c r="I12" s="2" t="inlineStr">
        <is>
          <t>1.5 hrs + 4h 45m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None</t>
        </is>
      </c>
      <c r="M12" s="3" t="n">
        <v>0</v>
      </c>
      <c r="N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8" customWidth="1" min="4" max="4"/>
    <col width="40" customWidth="1" min="5" max="5"/>
    <col width="40" customWidth="1" min="6" max="6"/>
    <col width="34" customWidth="1" min="7" max="7"/>
    <col width="26" customWidth="1" min="8" max="8"/>
    <col width="16" customWidth="1" min="9" max="9"/>
    <col width="22" customWidth="1" min="10" max="10"/>
    <col width="20" customWidth="1" min="11" max="11"/>
    <col width="36" customWidth="1" min="12" max="12"/>
    <col width="16" customWidth="1" min="13" max="13"/>
    <col width="44" customWidth="1" min="14" max="14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Overnight</t>
        </is>
      </c>
      <c r="E1" s="1" t="inlineStr">
        <is>
          <t>Morning</t>
        </is>
      </c>
      <c r="F1" s="1" t="inlineStr">
        <is>
          <t>Afternoon</t>
        </is>
      </c>
      <c r="G1" s="1" t="inlineStr">
        <is>
          <t>Evening</t>
        </is>
      </c>
      <c r="H1" s="1" t="inlineStr">
        <is>
          <t>Transport</t>
        </is>
      </c>
      <c r="I1" s="1" t="inlineStr">
        <is>
          <t>Travel Time</t>
        </is>
      </c>
      <c r="J1" s="1" t="inlineStr">
        <is>
          <t>Book Ahead</t>
        </is>
      </c>
      <c r="K1" s="1" t="inlineStr">
        <is>
          <t>Weather Sensitive</t>
        </is>
      </c>
      <c r="L1" s="1" t="inlineStr">
        <is>
          <t>Backup Option</t>
        </is>
      </c>
      <c r="M1" s="1" t="inlineStr">
        <is>
          <t>Est. Daily Cost (Family USD)</t>
        </is>
      </c>
      <c r="N1" s="1" t="inlineStr">
        <is>
          <t>Notes</t>
        </is>
      </c>
    </row>
    <row r="2">
      <c r="A2" s="2" t="n">
        <v>1</v>
      </c>
      <c r="B2" s="2" t="inlineStr">
        <is>
          <t>Sat Jul 11</t>
        </is>
      </c>
      <c r="C2" s="2" t="inlineStr">
        <is>
          <t>DC → Munich</t>
        </is>
      </c>
      <c r="D2" s="2" t="inlineStr">
        <is>
          <t>In-flight</t>
        </is>
      </c>
      <c r="E2" s="2" t="inlineStr">
        <is>
          <t>Airport departure</t>
        </is>
      </c>
      <c r="F2" s="2" t="inlineStr">
        <is>
          <t>Overnight transatlantic</t>
        </is>
      </c>
      <c r="G2" s="2" t="inlineStr">
        <is>
          <t>In-flight</t>
        </is>
      </c>
      <c r="H2" s="2" t="inlineStr">
        <is>
          <t>IAD nonstop (Lufthansa/United)</t>
        </is>
      </c>
      <c r="I2" s="2" t="inlineStr">
        <is>
          <t>~8–10 hrs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None</t>
        </is>
      </c>
      <c r="M2" s="3" t="n">
        <v>0</v>
      </c>
      <c r="N2" s="2" t="inlineStr">
        <is>
          <t>Europe clock begins on flight night</t>
        </is>
      </c>
    </row>
    <row r="3">
      <c r="A3" s="4" t="n">
        <v>2</v>
      </c>
      <c r="B3" s="4" t="inlineStr">
        <is>
          <t>Sun Jul 12</t>
        </is>
      </c>
      <c r="C3" s="4" t="inlineStr">
        <is>
          <t>Munich</t>
        </is>
      </c>
      <c r="D3" s="4" t="inlineStr">
        <is>
          <t>Munich</t>
        </is>
      </c>
      <c r="E3" s="4" t="inlineStr">
        <is>
          <t>Arrive MUC ~9–10 am; S-Bahn to city; hotel check-in</t>
        </is>
      </c>
      <c r="F3" s="4" t="inlineStr">
        <is>
          <t>Marienplatz; Viktualienmarkt; Glockenspiel at noon</t>
        </is>
      </c>
      <c r="G3" s="4" t="inlineStr">
        <is>
          <t>Englischer Garten + Eisbach surfers; beer garden dinner</t>
        </is>
      </c>
      <c r="H3" s="4" t="inlineStr">
        <is>
          <t>S-Bahn S1/S8</t>
        </is>
      </c>
      <c r="I3" s="4" t="inlineStr">
        <is>
          <t>40–50 min</t>
        </is>
      </c>
      <c r="J3" s="4" t="inlineStr">
        <is>
          <t>N</t>
        </is>
      </c>
      <c r="K3" s="4" t="inlineStr">
        <is>
          <t>N</t>
        </is>
      </c>
      <c r="L3" s="4" t="inlineStr">
        <is>
          <t>Hotel pool/nap day</t>
        </is>
      </c>
      <c r="M3" s="5" t="n">
        <v>300</v>
      </c>
      <c r="N3" s="4" t="inlineStr">
        <is>
          <t>Eisbach river surfers free; a genuine teen highlight</t>
        </is>
      </c>
    </row>
    <row r="4">
      <c r="A4" s="2" t="n">
        <v>3</v>
      </c>
      <c r="B4" s="2" t="inlineStr">
        <is>
          <t>Mon Jul 13</t>
        </is>
      </c>
      <c r="C4" s="2" t="inlineStr">
        <is>
          <t>Munich</t>
        </is>
      </c>
      <c r="D4" s="2" t="inlineStr">
        <is>
          <t>Munich</t>
        </is>
      </c>
      <c r="E4" s="2" t="inlineStr">
        <is>
          <t>Deutsches Museum (4–5 hrs; €15/adult; €4.50/youth)</t>
        </is>
      </c>
      <c r="F4" s="2" t="inlineStr">
        <is>
          <t>BMW Welt (free) + BMW Museum (€10/adult)</t>
        </is>
      </c>
      <c r="G4" s="2" t="inlineStr">
        <is>
          <t>Hofbräuhaus or neighborhood beer garden</t>
        </is>
      </c>
      <c r="H4" s="2" t="inlineStr">
        <is>
          <t>Local U-Bahn</t>
        </is>
      </c>
      <c r="I4" s="2" t="inlineStr">
        <is>
          <t>Local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Extra museum day; Alte Pinakothek alternative</t>
        </is>
      </c>
      <c r="M4" s="3" t="n">
        <v>380</v>
      </c>
      <c r="N4" s="2" t="inlineStr">
        <is>
          <t>BMW Welt is free and worth 2 hrs even for non-car people</t>
        </is>
      </c>
    </row>
    <row r="5">
      <c r="A5" s="4" t="n">
        <v>4</v>
      </c>
      <c r="B5" s="4" t="inlineStr">
        <is>
          <t>Tue Jul 14</t>
        </is>
      </c>
      <c r="C5" s="4" t="inlineStr">
        <is>
          <t>Neuschwanstein day trip</t>
        </is>
      </c>
      <c r="D5" s="4" t="inlineStr">
        <is>
          <t>Munich</t>
        </is>
      </c>
      <c r="E5" s="4" t="inlineStr">
        <is>
          <t>Regional train to Füssen (~2 hrs); bus to castle; timed interior tour</t>
        </is>
      </c>
      <c r="F5" s="4" t="inlineStr">
        <is>
          <t>Marienbrücke bridge view over gorge; optional Hohenschwangau Castle</t>
        </is>
      </c>
      <c r="G5" s="4" t="inlineStr">
        <is>
          <t>Return to Munich; dinner</t>
        </is>
      </c>
      <c r="H5" s="4" t="inlineStr">
        <is>
          <t>Bayern-Ticket + regional train</t>
        </is>
      </c>
      <c r="I5" s="4" t="inlineStr">
        <is>
          <t>2 hrs each way</t>
        </is>
      </c>
      <c r="J5" s="4" t="inlineStr">
        <is>
          <t>Y (Neuschwanstein timed entry — book immediately)</t>
        </is>
      </c>
      <c r="K5" s="4" t="inlineStr">
        <is>
          <t>N</t>
        </is>
      </c>
      <c r="L5" s="4" t="inlineStr">
        <is>
          <t>Exterior + Marienbrücke if interior sells out</t>
        </is>
      </c>
      <c r="M5" s="5" t="n">
        <v>430</v>
      </c>
      <c r="N5" s="4" t="inlineStr">
        <is>
          <t>Book timed entry at tickets.hohenschwangau.de immediately; July sells out weeks ahead; under 18 free</t>
        </is>
      </c>
    </row>
    <row r="6">
      <c r="A6" s="2" t="n">
        <v>5</v>
      </c>
      <c r="B6" s="2" t="inlineStr">
        <is>
          <t>Wed Jul 15</t>
        </is>
      </c>
      <c r="C6" s="2" t="inlineStr">
        <is>
          <t>Munich</t>
        </is>
      </c>
      <c r="D6" s="2" t="inlineStr">
        <is>
          <t>Munich</t>
        </is>
      </c>
      <c r="E6" s="2" t="inlineStr">
        <is>
          <t>Nymphenburg Palace + formal gardens (~2 hrs; €15/adult)</t>
        </is>
      </c>
      <c r="F6" s="2" t="inlineStr">
        <is>
          <t>Olympic Park grounds (free) + Maximilianstrasse or Schwabing district</t>
        </is>
      </c>
      <c r="G6" s="2" t="inlineStr">
        <is>
          <t>Dinner in Munich</t>
        </is>
      </c>
      <c r="H6" s="2" t="inlineStr">
        <is>
          <t>U-Bahn + local</t>
        </is>
      </c>
      <c r="I6" s="2" t="inlineStr">
        <is>
          <t>Local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Dachau Memorial if family interested in WWII history</t>
        </is>
      </c>
      <c r="M6" s="3" t="n">
        <v>350</v>
      </c>
      <c r="N6" s="2" t="inlineStr">
        <is>
          <t>Nymphenburg is a genuine royal palace; canals and formal gardens free even without entry</t>
        </is>
      </c>
    </row>
    <row r="7">
      <c r="A7" s="4" t="n">
        <v>6</v>
      </c>
      <c r="B7" s="4" t="inlineStr">
        <is>
          <t>Thu Jul 16</t>
        </is>
      </c>
      <c r="C7" s="4" t="inlineStr">
        <is>
          <t>Munich → Berchtesgaden</t>
        </is>
      </c>
      <c r="D7" s="4" t="inlineStr">
        <is>
          <t>Berchtesgaden</t>
        </is>
      </c>
      <c r="E7" s="4" t="inlineStr">
        <is>
          <t>Check out; regional train to Berchtesgaden (~2.5 hrs via Freilassing)</t>
        </is>
      </c>
      <c r="F7" s="4" t="inlineStr">
        <is>
          <t>Arrive mid-afternoon; Berchtesgaden Old Town walk; Royal Palace square</t>
        </is>
      </c>
      <c r="G7" s="4" t="inlineStr">
        <is>
          <t>Dinner at local Gasthof; early night</t>
        </is>
      </c>
      <c r="H7" s="4" t="inlineStr">
        <is>
          <t>Bayern-Ticket + regional rail</t>
        </is>
      </c>
      <c r="I7" s="4" t="inlineStr">
        <is>
          <t>~2h 30m</t>
        </is>
      </c>
      <c r="J7" s="4" t="inlineStr">
        <is>
          <t>Y (Bayern-Ticket)</t>
        </is>
      </c>
      <c r="K7" s="4" t="inlineStr">
        <is>
          <t>N</t>
        </is>
      </c>
      <c r="L7" s="4" t="inlineStr">
        <is>
          <t>Break in Munich midway if needed</t>
        </is>
      </c>
      <c r="M7" s="5" t="n">
        <v>350</v>
      </c>
      <c r="N7" s="4" t="inlineStr">
        <is>
          <t>Bayern-Ticket covers the full day; straightforward connection</t>
        </is>
      </c>
    </row>
    <row r="8">
      <c r="A8" s="2" t="n">
        <v>7</v>
      </c>
      <c r="B8" s="2" t="inlineStr">
        <is>
          <t>Fri Jul 17</t>
        </is>
      </c>
      <c r="C8" s="2" t="inlineStr">
        <is>
          <t>Königssee</t>
        </is>
      </c>
      <c r="D8" s="2" t="inlineStr">
        <is>
          <t>Berchtesgaden</t>
        </is>
      </c>
      <c r="E8" s="2" t="inlineStr">
        <is>
          <t>Bus 841 to Königssee dock (~10 min); first electric boat to St. Bartholomä — cliff-echo flugelhorn</t>
        </is>
      </c>
      <c r="F8" s="2" t="inlineStr">
        <is>
          <t>Return by boat; afternoon rest or Old Town walk</t>
        </is>
      </c>
      <c r="G8" s="2" t="inlineStr">
        <is>
          <t>Dinner in Berchtesgaden</t>
        </is>
      </c>
      <c r="H8" s="2" t="inlineStr">
        <is>
          <t>Bus 841 + electric boat</t>
        </is>
      </c>
      <c r="I8" s="2" t="inlineStr">
        <is>
          <t>10 min bus + 35 min each way boat</t>
        </is>
      </c>
      <c r="J8" s="2" t="inlineStr">
        <is>
          <t>Y (boat dock)</t>
        </is>
      </c>
      <c r="K8" s="2" t="inlineStr">
        <is>
          <t>Y (weather-dependent)</t>
        </is>
      </c>
      <c r="L8" s="2" t="inlineStr">
        <is>
          <t>Documentation Center Obersalzberg (indoor)</t>
        </is>
      </c>
      <c r="M8" s="3" t="n">
        <v>400</v>
      </c>
      <c r="N8" s="2" t="inlineStr">
        <is>
          <t>Take first morning boat; crowds build fast after 10 am</t>
        </is>
      </c>
    </row>
    <row r="9">
      <c r="A9" s="4" t="n">
        <v>8</v>
      </c>
      <c r="B9" s="4" t="inlineStr">
        <is>
          <t>Sat Jul 18</t>
        </is>
      </c>
      <c r="C9" s="4" t="inlineStr">
        <is>
          <t>Berchtesgaden → Salzburg</t>
        </is>
      </c>
      <c r="D9" s="4" t="inlineStr">
        <is>
          <t>Salzburg</t>
        </is>
      </c>
      <c r="E9" s="4" t="inlineStr">
        <is>
          <t>Bus 838; Documentation Center Obersalzberg (€6/adult); Kehlstein bus + tunnel elevator to Eagle's Nest (€36.10/adult; €21/youth)</t>
        </is>
      </c>
      <c r="F9" s="4" t="inlineStr">
        <is>
          <t>Berchtesgaden salt mine (~1.5 hrs; €23/adult) — core plan, not optional</t>
        </is>
      </c>
      <c r="G9" s="4" t="inlineStr">
        <is>
          <t>Bus 840 to Salzburg (~50 min); check in; light dinner</t>
        </is>
      </c>
      <c r="H9" s="4" t="inlineStr">
        <is>
          <t>Bus 838 + Bus 840</t>
        </is>
      </c>
      <c r="I9" s="4" t="inlineStr">
        <is>
          <t>~2 hrs activity + 50 min transfer</t>
        </is>
      </c>
      <c r="J9" s="4" t="inlineStr">
        <is>
          <t>Y (Eagle's Nest seasonal)</t>
        </is>
      </c>
      <c r="K9" s="4" t="inlineStr">
        <is>
          <t>Y (Eagle's Nest closes in cloud/wind)</t>
        </is>
      </c>
      <c r="L9" s="4" t="inlineStr">
        <is>
          <t>Salt mine only + travel to Salzburg if Eagle's Nest closed</t>
        </is>
      </c>
      <c r="M9" s="5" t="n">
        <v>520</v>
      </c>
      <c r="N9" s="4" t="inlineStr">
        <is>
          <t>Eagle's Nest historically moving; salt mine adds variety; Day 8 is full but manageable</t>
        </is>
      </c>
    </row>
    <row r="10">
      <c r="A10" s="2" t="n">
        <v>9</v>
      </c>
      <c r="B10" s="2" t="inlineStr">
        <is>
          <t>Sun Jul 19</t>
        </is>
      </c>
      <c r="C10" s="2" t="inlineStr">
        <is>
          <t>Salzburg</t>
        </is>
      </c>
      <c r="D10" s="2" t="inlineStr">
        <is>
          <t>Salzburg</t>
        </is>
      </c>
      <c r="E10" s="2" t="inlineStr">
        <is>
          <t>Hohensalzburg Fortress funicular (€14.50/adult; €8.30/youth)</t>
        </is>
      </c>
      <c r="F10" s="2" t="inlineStr">
        <is>
          <t>Mirabell Gardens (free); Mozart's Birthplace (€13.50/adult); Getreidegasse stroll</t>
        </is>
      </c>
      <c r="G10" s="2" t="inlineStr">
        <is>
          <t>St. Peter Stiftskeller dinner (Europe's oldest restaurant; book ahead)</t>
        </is>
      </c>
      <c r="H10" s="2" t="inlineStr">
        <is>
          <t>Walk + local bus</t>
        </is>
      </c>
      <c r="I10" s="2" t="inlineStr">
        <is>
          <t>Local</t>
        </is>
      </c>
      <c r="J10" s="2" t="inlineStr">
        <is>
          <t>Y (restaurant reservation)</t>
        </is>
      </c>
      <c r="K10" s="2" t="inlineStr">
        <is>
          <t>N</t>
        </is>
      </c>
      <c r="L10" s="2" t="inlineStr">
        <is>
          <t>Salzburg Card if doing 3+ paid sites</t>
        </is>
      </c>
      <c r="M10" s="3" t="n">
        <v>480</v>
      </c>
      <c r="N10" s="2" t="inlineStr">
        <is>
          <t>Compact walkable city; one of the most enjoyable low-effort days on this trip</t>
        </is>
      </c>
    </row>
    <row r="11">
      <c r="A11" s="4" t="n">
        <v>10</v>
      </c>
      <c r="B11" s="4" t="inlineStr">
        <is>
          <t>Mon Jul 20</t>
        </is>
      </c>
      <c r="C11" s="4" t="inlineStr">
        <is>
          <t>Hallstatt day trip</t>
        </is>
      </c>
      <c r="D11" s="4" t="inlineStr">
        <is>
          <t>Salzburg</t>
        </is>
      </c>
      <c r="E11" s="4" t="inlineStr">
        <is>
          <t>Regional train + bus to Hallstatt (~1.5 hrs each way); lake village walk; boat across the Hallstätter See</t>
        </is>
      </c>
      <c r="F11" s="4" t="inlineStr">
        <is>
          <t>Hallstatt salt mine museum (~1 hr); Beinhaus charnel house (unusual and memorable); lakeside lunch</t>
        </is>
      </c>
      <c r="G11" s="4" t="inlineStr">
        <is>
          <t>Return to Salzburg; evening Salzach riverside walk</t>
        </is>
      </c>
      <c r="H11" s="4" t="inlineStr">
        <is>
          <t>Regional train + bus</t>
        </is>
      </c>
      <c r="I11" s="4" t="inlineStr">
        <is>
          <t>1.5 hrs each way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Salzburg Museum der Moderne or Sound of Music tour instead</t>
        </is>
      </c>
      <c r="M11" s="5" t="n">
        <v>400</v>
      </c>
      <c r="N11" s="4" t="inlineStr">
        <is>
          <t>Arrive early to beat tour buses; Hallstatt is UNESCO-listed and unmistakably beautiful</t>
        </is>
      </c>
    </row>
    <row r="12">
      <c r="A12" s="2" t="n">
        <v>11</v>
      </c>
      <c r="B12" s="2" t="inlineStr">
        <is>
          <t>Tue Jul 21</t>
        </is>
      </c>
      <c r="C12" s="2" t="inlineStr">
        <is>
          <t>Salzburg → Munich → DC</t>
        </is>
      </c>
      <c r="D12" s="2" t="inlineStr">
        <is>
          <t>At home</t>
        </is>
      </c>
      <c r="E12" s="2" t="inlineStr">
        <is>
          <t>ÖBB Railjet 06:23 or 07:11 Salzburg → Munich (1h 28m; book seat reservation ~$30/pp, 3–4 wks ahead)</t>
        </is>
      </c>
      <c r="F12" s="2" t="inlineStr">
        <is>
          <t>S-Bahn S1/S8 to MUC airport (40 min); fly home</t>
        </is>
      </c>
      <c r="G12" s="2" t="inlineStr">
        <is>
          <t>Arrive DC</t>
        </is>
      </c>
      <c r="H12" s="2" t="inlineStr">
        <is>
          <t>Railjet + S-Bahn</t>
        </is>
      </c>
      <c r="I12" s="2" t="inlineStr">
        <is>
          <t>2h 10m total</t>
        </is>
      </c>
      <c r="J12" s="2" t="inlineStr">
        <is>
          <t>Y (Railjet reservation)</t>
        </is>
      </c>
      <c r="K12" s="2" t="inlineStr">
        <is>
          <t>N</t>
        </is>
      </c>
      <c r="L12" s="2" t="inlineStr">
        <is>
          <t>None</t>
        </is>
      </c>
      <c r="M12" s="3" t="n">
        <v>170</v>
      </c>
      <c r="N12" s="2" t="inlineStr">
        <is>
          <t>Leave Salzburg by 7:15 am for a midday MUC departure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8" customWidth="1" min="4" max="4"/>
    <col width="40" customWidth="1" min="5" max="5"/>
    <col width="38" customWidth="1" min="6" max="6"/>
    <col width="34" customWidth="1" min="7" max="7"/>
    <col width="26" customWidth="1" min="8" max="8"/>
    <col width="16" customWidth="1" min="9" max="9"/>
    <col width="14" customWidth="1" min="10" max="10"/>
    <col width="20" customWidth="1" min="11" max="11"/>
    <col width="36" customWidth="1" min="12" max="12"/>
    <col width="16" customWidth="1" min="13" max="13"/>
    <col width="44" customWidth="1" min="14" max="14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Overnight</t>
        </is>
      </c>
      <c r="E1" s="1" t="inlineStr">
        <is>
          <t>Morning</t>
        </is>
      </c>
      <c r="F1" s="1" t="inlineStr">
        <is>
          <t>Afternoon</t>
        </is>
      </c>
      <c r="G1" s="1" t="inlineStr">
        <is>
          <t>Evening</t>
        </is>
      </c>
      <c r="H1" s="1" t="inlineStr">
        <is>
          <t>Transport</t>
        </is>
      </c>
      <c r="I1" s="1" t="inlineStr">
        <is>
          <t>Travel Time</t>
        </is>
      </c>
      <c r="J1" s="1" t="inlineStr">
        <is>
          <t>Book Ahead</t>
        </is>
      </c>
      <c r="K1" s="1" t="inlineStr">
        <is>
          <t>Weather Sensitive</t>
        </is>
      </c>
      <c r="L1" s="1" t="inlineStr">
        <is>
          <t>Backup Option</t>
        </is>
      </c>
      <c r="M1" s="1" t="inlineStr">
        <is>
          <t>Est. Daily Cost (Family USD)</t>
        </is>
      </c>
      <c r="N1" s="1" t="inlineStr">
        <is>
          <t>Notes</t>
        </is>
      </c>
    </row>
    <row r="2">
      <c r="A2" s="2" t="n">
        <v>1</v>
      </c>
      <c r="B2" s="2" t="inlineStr">
        <is>
          <t>Sat Jul 11</t>
        </is>
      </c>
      <c r="C2" s="2" t="inlineStr">
        <is>
          <t>DC → Athens</t>
        </is>
      </c>
      <c r="D2" s="2" t="inlineStr">
        <is>
          <t>In-flight</t>
        </is>
      </c>
      <c r="E2" s="2" t="inlineStr">
        <is>
          <t>Airport departure</t>
        </is>
      </c>
      <c r="F2" s="2" t="inlineStr">
        <is>
          <t>Transatlantic flight</t>
        </is>
      </c>
      <c r="G2" s="2" t="inlineStr">
        <is>
          <t>In-flight</t>
        </is>
      </c>
      <c r="H2" s="2" t="inlineStr">
        <is>
          <t>IAD nonstop or via FRA/IST</t>
        </is>
      </c>
      <c r="I2" s="2" t="inlineStr">
        <is>
          <t>Overnight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None</t>
        </is>
      </c>
      <c r="M2" s="3" t="n">
        <v>0</v>
      </c>
      <c r="N2" s="2" t="inlineStr">
        <is>
          <t>Europe clock begins on flight night</t>
        </is>
      </c>
    </row>
    <row r="3">
      <c r="A3" s="4" t="n">
        <v>2</v>
      </c>
      <c r="B3" s="4" t="inlineStr">
        <is>
          <t>Sun Jul 12</t>
        </is>
      </c>
      <c r="C3" s="4" t="inlineStr">
        <is>
          <t>Athens → Chania</t>
        </is>
      </c>
      <c r="D3" s="4" t="inlineStr">
        <is>
          <t>Chania area</t>
        </is>
      </c>
      <c r="E3" s="4" t="inlineStr">
        <is>
          <t>Arrive ATH; connect to CHQ (Aegean ~50 min)</t>
        </is>
      </c>
      <c r="F3" s="4" t="inlineStr">
        <is>
          <t>Pick up rental car (CHQ airport); check in to Chania beach hotel</t>
        </is>
      </c>
      <c r="G3" s="4" t="inlineStr">
        <is>
          <t>Easy beach swim; dinner near hotel</t>
        </is>
      </c>
      <c r="H3" s="4" t="inlineStr">
        <is>
          <t>ATH→CHQ domestic + rental car pickup</t>
        </is>
      </c>
      <c r="I3" s="4" t="inlineStr">
        <is>
          <t>~50 min flight + 20 min to hotel</t>
        </is>
      </c>
      <c r="J3" s="4" t="inlineStr">
        <is>
          <t>Y (Aegean domestic)</t>
        </is>
      </c>
      <c r="K3" s="4" t="inlineStr">
        <is>
          <t>N</t>
        </is>
      </c>
      <c r="L3" s="4" t="inlineStr">
        <is>
          <t>Relax at hotel on delayed arrival</t>
        </is>
      </c>
      <c r="M3" s="5" t="n">
        <v>360</v>
      </c>
      <c r="N3" s="4" t="inlineStr">
        <is>
          <t>Agia Marina / Stalos area; beach within walking distance of hotel</t>
        </is>
      </c>
    </row>
    <row r="4">
      <c r="A4" s="2" t="n">
        <v>3</v>
      </c>
      <c r="B4" s="2" t="inlineStr">
        <is>
          <t>Mon Jul 13</t>
        </is>
      </c>
      <c r="C4" s="2" t="inlineStr">
        <is>
          <t>Chania area</t>
        </is>
      </c>
      <c r="D4" s="2" t="inlineStr">
        <is>
          <t>Chania area</t>
        </is>
      </c>
      <c r="E4" s="2" t="inlineStr">
        <is>
          <t>Recovery beach morning; pool time</t>
        </is>
      </c>
      <c r="F4" s="2" t="inlineStr">
        <is>
          <t>Pool or beach; light lunch near hotel</t>
        </is>
      </c>
      <c r="G4" s="2" t="inlineStr">
        <is>
          <t>Chania Old Town + Venetian Harbor evening walk</t>
        </is>
      </c>
      <c r="H4" s="2" t="inlineStr">
        <is>
          <t>Short drive (~15 min)</t>
        </is>
      </c>
      <c r="I4" s="2" t="inlineStr">
        <is>
          <t>Local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Full beach day</t>
        </is>
      </c>
      <c r="M4" s="3" t="n">
        <v>300</v>
      </c>
      <c r="N4" s="2" t="inlineStr">
        <is>
          <t>Chania Old Town is walkable; Venetian lighthouse is free</t>
        </is>
      </c>
    </row>
    <row r="5">
      <c r="A5" s="4" t="n">
        <v>4</v>
      </c>
      <c r="B5" s="4" t="inlineStr">
        <is>
          <t>Tue Jul 14</t>
        </is>
      </c>
      <c r="C5" s="4" t="inlineStr">
        <is>
          <t>West Crete</t>
        </is>
      </c>
      <c r="D5" s="4" t="inlineStr">
        <is>
          <t>Chania area</t>
        </is>
      </c>
      <c r="E5" s="4" t="inlineStr">
        <is>
          <t>Balos Lagoon (early start) — Kissamos ferry (~1.5 hrs) or drive to overlook</t>
        </is>
      </c>
      <c r="F5" s="4" t="inlineStr">
        <is>
          <t>Beach / swim at Balos or Falassarna (nearby alternative)</t>
        </is>
      </c>
      <c r="G5" s="4" t="inlineStr">
        <is>
          <t>Casual seafood dinner; return to hotel</t>
        </is>
      </c>
      <c r="H5" s="4" t="inlineStr">
        <is>
          <t>Rental car + Kissamos ferry</t>
        </is>
      </c>
      <c r="I5" s="4" t="inlineStr">
        <is>
          <t>~1.5 hrs each way ferry</t>
        </is>
      </c>
      <c r="J5" s="4" t="inlineStr">
        <is>
          <t>Y (Kissamos ferry)</t>
        </is>
      </c>
      <c r="K5" s="4" t="inlineStr">
        <is>
          <t>Y (ferry cancels in wind)</t>
        </is>
      </c>
      <c r="L5" s="4" t="inlineStr">
        <is>
          <t>Falassarna beach by car — equally scenic; no ferry</t>
        </is>
      </c>
      <c r="M5" s="5" t="n">
        <v>480</v>
      </c>
      <c r="N5" s="4" t="inlineStr">
        <is>
          <t>Balos ferry fills in July — pre-book Kissamos ferry tickets</t>
        </is>
      </c>
    </row>
    <row r="6">
      <c r="A6" s="2" t="n">
        <v>5</v>
      </c>
      <c r="B6" s="2" t="inlineStr">
        <is>
          <t>Wed Jul 15</t>
        </is>
      </c>
      <c r="C6" s="2" t="inlineStr">
        <is>
          <t>Chania / villages</t>
        </is>
      </c>
      <c r="D6" s="2" t="inlineStr">
        <is>
          <t>Chania area</t>
        </is>
      </c>
      <c r="E6" s="2" t="inlineStr">
        <is>
          <t>Chania Old Town covered market + municipal market; morning shop</t>
        </is>
      </c>
      <c r="F6" s="2" t="inlineStr">
        <is>
          <t>Inland village drive (Vamos or Gavalochori); olive oil tasting</t>
        </is>
      </c>
      <c r="G6" s="2" t="inlineStr">
        <is>
          <t>Dinner in Chania</t>
        </is>
      </c>
      <c r="H6" s="2" t="inlineStr">
        <is>
          <t>Rental car</t>
        </is>
      </c>
      <c r="I6" s="2" t="inlineStr">
        <is>
          <t>~30 min to villages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Extra beach morning instead</t>
        </is>
      </c>
      <c r="M6" s="3" t="n">
        <v>280</v>
      </c>
      <c r="N6" s="2" t="inlineStr">
        <is>
          <t>Cretan olive oil tasting ~€20/pp; village kafeneion lunch is good value</t>
        </is>
      </c>
    </row>
    <row r="7">
      <c r="A7" s="4" t="n">
        <v>6</v>
      </c>
      <c r="B7" s="4" t="inlineStr">
        <is>
          <t>Thu Jul 16</t>
        </is>
      </c>
      <c r="C7" s="4" t="inlineStr">
        <is>
          <t>Imbros Gorge</t>
        </is>
      </c>
      <c r="D7" s="4" t="inlineStr">
        <is>
          <t>Chania area</t>
        </is>
      </c>
      <c r="E7" s="4" t="inlineStr">
        <is>
          <t>Imbros Gorge hike early start (~7 am; 8 km point-to-point; ~3.5 hrs)</t>
        </is>
      </c>
      <c r="F7" s="4" t="inlineStr">
        <is>
          <t>South coast lunch in Sfakia; swim at Sweetwater Beach (short boat from Sfakia)</t>
        </is>
      </c>
      <c r="G7" s="4" t="inlineStr">
        <is>
          <t>Low-key evening; early dinner; pack for drive east tomorrow</t>
        </is>
      </c>
      <c r="H7" s="4" t="inlineStr">
        <is>
          <t>Rental car (~45 min to trailhead)</t>
        </is>
      </c>
      <c r="I7" s="4" t="inlineStr">
        <is>
          <t>45 min drive; 3.5 hr hike</t>
        </is>
      </c>
      <c r="J7" s="4" t="inlineStr">
        <is>
          <t>N</t>
        </is>
      </c>
      <c r="K7" s="4" t="inlineStr">
        <is>
          <t>Y (heat — start early)</t>
        </is>
      </c>
      <c r="L7" s="4" t="inlineStr">
        <is>
          <t>Beach day at Frangokastello instead</t>
        </is>
      </c>
      <c r="M7" s="5" t="n">
        <v>380</v>
      </c>
      <c r="N7" s="4" t="inlineStr">
        <is>
          <t>Gorge entry ~€5/pp; arrange taxi back from Sfakia (~€15 total)</t>
        </is>
      </c>
    </row>
    <row r="8">
      <c r="A8" s="2" t="n">
        <v>7</v>
      </c>
      <c r="B8" s="2" t="inlineStr">
        <is>
          <t>Fri Jul 17</t>
        </is>
      </c>
      <c r="C8" s="2" t="inlineStr">
        <is>
          <t>Chania → East Crete</t>
        </is>
      </c>
      <c r="D8" s="2" t="inlineStr">
        <is>
          <t>East Crete</t>
        </is>
      </c>
      <c r="E8" s="2" t="inlineStr">
        <is>
          <t>Check out; leisurely drive east on E75 (2.5–3 hrs total)</t>
        </is>
      </c>
      <c r="F8" s="2" t="inlineStr">
        <is>
          <t>Stop Rethymno Old Town — Venetian fortress (Fortezza), harbor lunch (~1 hr)</t>
        </is>
      </c>
      <c r="G8" s="2" t="inlineStr">
        <is>
          <t>Check in Agios Nikolaos; seaside harbor dinner</t>
        </is>
      </c>
      <c r="H8" s="2" t="inlineStr">
        <is>
          <t>Rental car (~2.5–3 hrs with stop)</t>
        </is>
      </c>
      <c r="I8" s="2" t="inlineStr">
        <is>
          <t>2.5–3 hrs driving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Skip Rethymno if tired; drive straight</t>
        </is>
      </c>
      <c r="M8" s="3" t="n">
        <v>400</v>
      </c>
      <c r="N8" s="2" t="inlineStr">
        <is>
          <t>Rethymno Fortezza ~€5 entry; worth 30–45 min; harbor seafood lunch</t>
        </is>
      </c>
    </row>
    <row r="9">
      <c r="A9" s="4" t="n">
        <v>8</v>
      </c>
      <c r="B9" s="4" t="inlineStr">
        <is>
          <t>Sat Jul 18</t>
        </is>
      </c>
      <c r="C9" s="4" t="inlineStr">
        <is>
          <t>East Crete — mythology day</t>
        </is>
      </c>
      <c r="D9" s="4" t="inlineStr">
        <is>
          <t>East Crete</t>
        </is>
      </c>
      <c r="E9" s="4" t="inlineStr">
        <is>
          <t>Knossos Palace early (opens 8 am; 1.5–2 hrs; book timed entry)</t>
        </is>
      </c>
      <c r="F9" s="4" t="inlineStr">
        <is>
          <t>Heraklion Archaeological Museum (2–3 hrs; excellent A/C midday)</t>
        </is>
      </c>
      <c r="G9" s="4" t="inlineStr">
        <is>
          <t>Heraklion harbor dinner; return to Agios Nikolaos (~1 hr)</t>
        </is>
      </c>
      <c r="H9" s="4" t="inlineStr">
        <is>
          <t>Rental car (~1 hr to Heraklion)</t>
        </is>
      </c>
      <c r="I9" s="4" t="inlineStr">
        <is>
          <t>~1 hr each way</t>
        </is>
      </c>
      <c r="J9" s="4" t="inlineStr">
        <is>
          <t>Y (Knossos timed entry)</t>
        </is>
      </c>
      <c r="K9" s="4" t="inlineStr">
        <is>
          <t>Y (heat)</t>
        </is>
      </c>
      <c r="L9" s="4" t="inlineStr">
        <is>
          <t>Museum only if exhausted</t>
        </is>
      </c>
      <c r="M9" s="5" t="n">
        <v>490</v>
      </c>
      <c r="N9" s="4" t="inlineStr">
        <is>
          <t>Knossos + museum make the strongest possible Minoan double; don't split</t>
        </is>
      </c>
    </row>
    <row r="10">
      <c r="A10" s="2" t="n">
        <v>9</v>
      </c>
      <c r="B10" s="2" t="inlineStr">
        <is>
          <t>Sun Jul 19</t>
        </is>
      </c>
      <c r="C10" s="2" t="inlineStr">
        <is>
          <t>East Crete — island day</t>
        </is>
      </c>
      <c r="D10" s="2" t="inlineStr">
        <is>
          <t>East Crete</t>
        </is>
      </c>
      <c r="E10" s="2" t="inlineStr">
        <is>
          <t>Spinalonga boat trip from Elounda (~20 min crossing; 1.5 hrs on island)</t>
        </is>
      </c>
      <c r="F10" s="2" t="inlineStr">
        <is>
          <t>Beach or pool afternoon in Elounda</t>
        </is>
      </c>
      <c r="G10" s="2" t="inlineStr">
        <is>
          <t>Elounda or Agios Nikolaos harbor dinner</t>
        </is>
      </c>
      <c r="H10" s="2" t="inlineStr">
        <is>
          <t>Rental car + local boat</t>
        </is>
      </c>
      <c r="I10" s="2" t="inlineStr">
        <is>
          <t>20 min boat each way</t>
        </is>
      </c>
      <c r="J10" s="2" t="inlineStr">
        <is>
          <t>Y (morning boat)</t>
        </is>
      </c>
      <c r="K10" s="2" t="inlineStr">
        <is>
          <t>Y (boat cancels in wind)</t>
        </is>
      </c>
      <c r="L10" s="2" t="inlineStr">
        <is>
          <t>Agios Nikolaos Archaeological Museum if seas rough</t>
        </is>
      </c>
      <c r="M10" s="3" t="n">
        <v>420</v>
      </c>
      <c r="N10" s="2" t="inlineStr">
        <is>
          <t>Spinalonga leper colony island is historically striking; book early boat to avoid crowds</t>
        </is>
      </c>
    </row>
    <row r="11">
      <c r="A11" s="4" t="n">
        <v>10</v>
      </c>
      <c r="B11" s="4" t="inlineStr">
        <is>
          <t>Mon Jul 20</t>
        </is>
      </c>
      <c r="C11" s="4" t="inlineStr">
        <is>
          <t>Crete → Athens</t>
        </is>
      </c>
      <c r="D11" s="4" t="inlineStr">
        <is>
          <t>Athens</t>
        </is>
      </c>
      <c r="E11" s="4" t="inlineStr">
        <is>
          <t>Return rental car at HER airport; fly HER→ATH (Aegean ~45 min)</t>
        </is>
      </c>
      <c r="F11" s="4" t="inlineStr">
        <is>
          <t>Check in Athens (Plaka or Koukaki area); afternoon rest</t>
        </is>
      </c>
      <c r="G11" s="4" t="inlineStr">
        <is>
          <t>Plaka walk + rooftop dinner with Acropolis view</t>
        </is>
      </c>
      <c r="H11" s="4" t="inlineStr">
        <is>
          <t>Rental car → HER + domestic flight</t>
        </is>
      </c>
      <c r="I11" s="4" t="inlineStr">
        <is>
          <t>~45 min flight</t>
        </is>
      </c>
      <c r="J11" s="4" t="inlineStr">
        <is>
          <t>Y (Aegean; rental return timing)</t>
        </is>
      </c>
      <c r="K11" s="4" t="inlineStr">
        <is>
          <t>N</t>
        </is>
      </c>
      <c r="L11" s="4" t="inlineStr">
        <is>
          <t>Airport hotel if very late arrival</t>
        </is>
      </c>
      <c r="M11" s="5" t="n">
        <v>480</v>
      </c>
      <c r="N11" s="4" t="inlineStr">
        <is>
          <t>Return car before check-in to avoid Athens city parking fees</t>
        </is>
      </c>
    </row>
    <row r="12">
      <c r="A12" s="2" t="n">
        <v>11</v>
      </c>
      <c r="B12" s="2" t="inlineStr">
        <is>
          <t>Tue Jul 21</t>
        </is>
      </c>
      <c r="C12" s="2" t="inlineStr">
        <is>
          <t>Athens → DC</t>
        </is>
      </c>
      <c r="D12" s="2" t="inlineStr">
        <is>
          <t>At home</t>
        </is>
      </c>
      <c r="E12" s="2" t="inlineStr">
        <is>
          <t>Acropolis timed entry 7:30–9 am (FIRM; pre-book) OR relaxed hotel breakfast if flight too early</t>
        </is>
      </c>
      <c r="F12" s="2" t="inlineStr">
        <is>
          <t>Fly ATH→IAD (depart midday or afternoon)</t>
        </is>
      </c>
      <c r="G12" s="2" t="inlineStr">
        <is>
          <t>Arrive DC</t>
        </is>
      </c>
      <c r="H12" s="2" t="inlineStr">
        <is>
          <t>Taxi to ATH airport + transatlantic</t>
        </is>
      </c>
      <c r="I12" s="2" t="inlineStr">
        <is>
          <t>Long-haul</t>
        </is>
      </c>
      <c r="J12" s="2" t="inlineStr">
        <is>
          <t>Y (Acropolis — must pre-book)</t>
        </is>
      </c>
      <c r="K12" s="2" t="inlineStr">
        <is>
          <t>N</t>
        </is>
      </c>
      <c r="L12" s="2" t="inlineStr">
        <is>
          <t>Skip Acropolis if flight is early morning</t>
        </is>
      </c>
      <c r="M12" s="3" t="n">
        <v>170</v>
      </c>
      <c r="N12" s="2" t="inlineStr">
        <is>
          <t>Book Acropolis timed entry immediately; July 7:30 am slots sell out weeks ahead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50" customWidth="1" min="9" max="9"/>
    <col width="12" customWidth="1" min="10" max="10"/>
  </cols>
  <sheetData>
    <row r="1" ht="36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 Cost</t>
        </is>
      </c>
      <c r="D1" s="1" t="inlineStr">
        <is>
          <t>Qty</t>
        </is>
      </c>
      <c r="E1" s="1" t="inlineStr">
        <is>
          <t>Low (USD)</t>
        </is>
      </c>
      <c r="F1" s="1" t="inlineStr">
        <is>
          <t>Mid (USD)</t>
        </is>
      </c>
      <c r="G1" s="1" t="inlineStr">
        <is>
          <t>High (USD)</t>
        </is>
      </c>
      <c r="H1" s="1" t="inlineStr">
        <is>
          <t>Confidence</t>
        </is>
      </c>
      <c r="I1" s="1" t="inlineStr">
        <is>
          <t>Basis</t>
        </is>
      </c>
      <c r="J1" s="1" t="inlineStr">
        <is>
          <t>Source IDs</t>
        </is>
      </c>
    </row>
    <row r="2">
      <c r="A2" s="2" t="inlineStr">
        <is>
          <t>Flights</t>
        </is>
      </c>
      <c r="B2" s="2" t="inlineStr">
        <is>
          <t>IAD→ATH round-trip economy × 4</t>
        </is>
      </c>
      <c r="C2" s="2" t="inlineStr">
        <is>
          <t>$1,100–1,600/pp</t>
        </is>
      </c>
      <c r="D2" s="2" t="inlineStr">
        <is>
          <t>4</t>
        </is>
      </c>
      <c r="E2" s="3" t="n">
        <v>4000</v>
      </c>
      <c r="F2" s="3" t="n">
        <v>5200</v>
      </c>
      <c r="G2" s="3" t="n">
        <v>6400</v>
      </c>
      <c r="H2" s="2" t="inlineStr">
        <is>
          <t>Medium</t>
        </is>
      </c>
      <c r="I2" s="2" t="inlineStr">
        <is>
          <t>Live IAD–ATH searches May 2026; United nonstop ~$1,350–1,467 observed</t>
        </is>
      </c>
      <c r="J2" s="2" t="inlineStr">
        <is>
          <t>GR-FL</t>
        </is>
      </c>
    </row>
    <row r="3">
      <c r="A3" s="4" t="inlineStr">
        <is>
          <t>Bags &amp; Seats</t>
        </is>
      </c>
      <c r="B3" s="4" t="inlineStr">
        <is>
          <t>Economy bags + seat selection</t>
        </is>
      </c>
      <c r="C3" s="4" t="inlineStr">
        <is>
          <t>$90/pp RT</t>
        </is>
      </c>
      <c r="D3" s="4" t="inlineStr">
        <is>
          <t>4</t>
        </is>
      </c>
      <c r="E3" s="5" t="n">
        <v>200</v>
      </c>
      <c r="F3" s="5" t="n">
        <v>360</v>
      </c>
      <c r="G3" s="5" t="n">
        <v>560</v>
      </c>
      <c r="H3" s="4" t="inlineStr">
        <is>
          <t>Low</t>
        </is>
      </c>
      <c r="I3" s="4" t="inlineStr">
        <is>
          <t>Carrier-dependent; assume 1 checked bag/pp</t>
        </is>
      </c>
      <c r="J3" s="4" t="inlineStr">
        <is>
          <t>GR-FL</t>
        </is>
      </c>
    </row>
    <row r="4">
      <c r="A4" s="2" t="inlineStr">
        <is>
          <t>Lodging</t>
        </is>
      </c>
      <c r="B4" s="2" t="inlineStr">
        <is>
          <t>Athens — 2 nights (arrival)</t>
        </is>
      </c>
      <c r="C4" s="2" t="inlineStr">
        <is>
          <t>$200–350/night</t>
        </is>
      </c>
      <c r="D4" s="2" t="inlineStr">
        <is>
          <t>2</t>
        </is>
      </c>
      <c r="E4" s="3" t="n">
        <v>400</v>
      </c>
      <c r="F4" s="3" t="n">
        <v>480</v>
      </c>
      <c r="G4" s="3" t="n">
        <v>700</v>
      </c>
      <c r="H4" s="2" t="inlineStr">
        <is>
          <t>Medium</t>
        </is>
      </c>
      <c r="I4" s="2" t="inlineStr">
        <is>
          <t>Plaka-area hotels (Athens Gate, Electra Metropolis range)</t>
        </is>
      </c>
      <c r="J4" s="2" t="inlineStr">
        <is>
          <t>GR-LO</t>
        </is>
      </c>
    </row>
    <row r="5">
      <c r="A5" s="4" t="inlineStr">
        <is>
          <t>Lodging</t>
        </is>
      </c>
      <c r="B5" s="4" t="inlineStr">
        <is>
          <t>Naxos — 3 nights</t>
        </is>
      </c>
      <c r="C5" s="4" t="inlineStr">
        <is>
          <t>$150–375/night</t>
        </is>
      </c>
      <c r="D5" s="4" t="inlineStr">
        <is>
          <t>3</t>
        </is>
      </c>
      <c r="E5" s="5" t="n">
        <v>450</v>
      </c>
      <c r="F5" s="5" t="n">
        <v>750</v>
      </c>
      <c r="G5" s="5" t="n">
        <v>1125</v>
      </c>
      <c r="H5" s="4" t="inlineStr">
        <is>
          <t>Medium</t>
        </is>
      </c>
      <c r="I5" s="4" t="inlineStr">
        <is>
          <t>Iria Beach Art Hotel or similar mid-range</t>
        </is>
      </c>
      <c r="J5" s="4" t="inlineStr">
        <is>
          <t>GR-LO</t>
        </is>
      </c>
    </row>
    <row r="6">
      <c r="A6" s="2" t="inlineStr">
        <is>
          <t>Lodging</t>
        </is>
      </c>
      <c r="B6" s="2" t="inlineStr">
        <is>
          <t>Santorini — 3 nights</t>
        </is>
      </c>
      <c r="C6" s="2" t="inlineStr">
        <is>
          <t>$300–800/night</t>
        </is>
      </c>
      <c r="D6" s="2" t="inlineStr">
        <is>
          <t>3</t>
        </is>
      </c>
      <c r="E6" s="3" t="n">
        <v>900</v>
      </c>
      <c r="F6" s="3" t="n">
        <v>1500</v>
      </c>
      <c r="G6" s="3" t="n">
        <v>2400</v>
      </c>
      <c r="H6" s="2" t="inlineStr">
        <is>
          <t>Medium</t>
        </is>
      </c>
      <c r="I6" s="2" t="inlineStr">
        <is>
          <t>Imerovigli/Firostefani caldera-adjacent; Oia center commands premium</t>
        </is>
      </c>
      <c r="J6" s="2" t="inlineStr">
        <is>
          <t>GR-LO</t>
        </is>
      </c>
    </row>
    <row r="7">
      <c r="A7" s="4" t="inlineStr">
        <is>
          <t>Lodging</t>
        </is>
      </c>
      <c r="B7" s="4" t="inlineStr">
        <is>
          <t>Athens buffer — 1 night (airport area)</t>
        </is>
      </c>
      <c r="C7" s="4" t="inlineStr">
        <is>
          <t>$180–280/night</t>
        </is>
      </c>
      <c r="D7" s="4" t="inlineStr">
        <is>
          <t>1</t>
        </is>
      </c>
      <c r="E7" s="5" t="n">
        <v>180</v>
      </c>
      <c r="F7" s="5" t="n">
        <v>200</v>
      </c>
      <c r="G7" s="5" t="n">
        <v>280</v>
      </c>
      <c r="H7" s="4" t="inlineStr">
        <is>
          <t>Medium</t>
        </is>
      </c>
      <c r="I7" s="4" t="inlineStr">
        <is>
          <t>Sofitel Athens Airport or similar</t>
        </is>
      </c>
      <c r="J7" s="4" t="inlineStr">
        <is>
          <t>GR-LO</t>
        </is>
      </c>
    </row>
    <row r="8">
      <c r="A8" s="2" t="inlineStr">
        <is>
          <t>Ferries</t>
        </is>
      </c>
      <c r="B8" s="2" t="inlineStr">
        <is>
          <t>Piraeus → Naxos (Blue Star mid or Seajets)</t>
        </is>
      </c>
      <c r="C8" s="2" t="inlineStr">
        <is>
          <t>$55–100/pp</t>
        </is>
      </c>
      <c r="D8" s="2" t="inlineStr">
        <is>
          <t>4</t>
        </is>
      </c>
      <c r="E8" s="3" t="n">
        <v>220</v>
      </c>
      <c r="F8" s="3" t="n">
        <v>300</v>
      </c>
      <c r="G8" s="3" t="n">
        <v>400</v>
      </c>
      <c r="H8" s="2" t="inlineStr">
        <is>
          <t>Medium-High</t>
        </is>
      </c>
      <c r="I8" s="2" t="inlineStr">
        <is>
          <t>Blue Star Ferries and Seajets direct schedules</t>
        </is>
      </c>
      <c r="J8" s="2" t="inlineStr">
        <is>
          <t>GR-FE</t>
        </is>
      </c>
    </row>
    <row r="9">
      <c r="A9" s="4" t="inlineStr">
        <is>
          <t>Ferries</t>
        </is>
      </c>
      <c r="B9" s="4" t="inlineStr">
        <is>
          <t>Naxos → Santorini (Seajets fast ferry)</t>
        </is>
      </c>
      <c r="C9" s="4" t="inlineStr">
        <is>
          <t>$65–90/pp</t>
        </is>
      </c>
      <c r="D9" s="4" t="inlineStr">
        <is>
          <t>4</t>
        </is>
      </c>
      <c r="E9" s="5" t="n">
        <v>180</v>
      </c>
      <c r="F9" s="5" t="n">
        <v>260</v>
      </c>
      <c r="G9" s="5" t="n">
        <v>360</v>
      </c>
      <c r="H9" s="4" t="inlineStr">
        <is>
          <t>Medium-High</t>
        </is>
      </c>
      <c r="I9" s="4" t="inlineStr">
        <is>
          <t>Seajets Naxos–Santorini May 2026 fares</t>
        </is>
      </c>
      <c r="J9" s="4" t="inlineStr">
        <is>
          <t>GR-FE</t>
        </is>
      </c>
    </row>
    <row r="10">
      <c r="A10" s="2" t="inlineStr">
        <is>
          <t>Internal Flight</t>
        </is>
      </c>
      <c r="B10" s="2" t="inlineStr">
        <is>
          <t>Santorini → Athens (Aegean Airlines domestic)</t>
        </is>
      </c>
      <c r="C10" s="2" t="inlineStr">
        <is>
          <t>$70–130/pp</t>
        </is>
      </c>
      <c r="D10" s="2" t="inlineStr">
        <is>
          <t>4</t>
        </is>
      </c>
      <c r="E10" s="3" t="n">
        <v>0</v>
      </c>
      <c r="F10" s="3" t="n">
        <v>480</v>
      </c>
      <c r="G10" s="3" t="n">
        <v>560</v>
      </c>
      <c r="H10" s="2" t="inlineStr">
        <is>
          <t>Medium</t>
        </is>
      </c>
      <c r="I10" s="2" t="inlineStr">
        <is>
          <t>Aegean Airlines; optional; ferry is the budget path back</t>
        </is>
      </c>
      <c r="J10" s="2" t="inlineStr">
        <is>
          <t>GR-DF</t>
        </is>
      </c>
    </row>
    <row r="11">
      <c r="A11" s="4" t="inlineStr">
        <is>
          <t>Transfers</t>
        </is>
      </c>
      <c r="B11" s="4" t="inlineStr">
        <is>
          <t>Athens airport express train (round-trip)</t>
        </is>
      </c>
      <c r="C11" s="4" t="inlineStr">
        <is>
          <t>$18/pp RT</t>
        </is>
      </c>
      <c r="D11" s="4" t="inlineStr">
        <is>
          <t>4</t>
        </is>
      </c>
      <c r="E11" s="5" t="n">
        <v>40</v>
      </c>
      <c r="F11" s="5" t="n">
        <v>72</v>
      </c>
      <c r="G11" s="5" t="n">
        <v>72</v>
      </c>
      <c r="H11" s="4" t="inlineStr">
        <is>
          <t>High</t>
        </is>
      </c>
      <c r="I11" s="4" t="inlineStr">
        <is>
          <t>Proastiakos line; under-18 half price</t>
        </is>
      </c>
      <c r="J11" s="4" t="inlineStr">
        <is>
          <t>GR-TR</t>
        </is>
      </c>
    </row>
    <row r="12">
      <c r="A12" s="2" t="inlineStr">
        <is>
          <t>Transfers</t>
        </is>
      </c>
      <c r="B12" s="2" t="inlineStr">
        <is>
          <t>Island taxis, buses, water taxis</t>
        </is>
      </c>
      <c r="C12" s="2" t="inlineStr">
        <is>
          <t>Estimate</t>
        </is>
      </c>
      <c r="D12" s="2" t="inlineStr">
        <is>
          <t>—</t>
        </is>
      </c>
      <c r="E12" s="3" t="n">
        <v>200</v>
      </c>
      <c r="F12" s="3" t="n">
        <v>350</v>
      </c>
      <c r="G12" s="3" t="n">
        <v>500</v>
      </c>
      <c r="H12" s="2" t="inlineStr">
        <is>
          <t>Low</t>
        </is>
      </c>
      <c r="I12" s="2" t="inlineStr">
        <is>
          <t>Naxos buses cheap; Santorini taxis expensive in July</t>
        </is>
      </c>
      <c r="J12" s="2" t="inlineStr">
        <is>
          <t>GR-TR</t>
        </is>
      </c>
    </row>
    <row r="13">
      <c r="A13" s="4" t="inlineStr">
        <is>
          <t>Activities</t>
        </is>
      </c>
      <c r="B13" s="4" t="inlineStr">
        <is>
          <t>Acropolis timed entry (advance)</t>
        </is>
      </c>
      <c r="C13" s="4" t="inlineStr">
        <is>
          <t>€30/adult; €15/youth</t>
        </is>
      </c>
      <c r="D13" s="4" t="inlineStr">
        <is>
          <t>4</t>
        </is>
      </c>
      <c r="E13" s="5" t="n">
        <v>120</v>
      </c>
      <c r="F13" s="5" t="n">
        <v>170</v>
      </c>
      <c r="G13" s="5" t="n">
        <v>170</v>
      </c>
      <c r="H13" s="4" t="inlineStr">
        <is>
          <t>High</t>
        </is>
      </c>
      <c r="I13" s="4" t="inlineStr">
        <is>
          <t>Greek Ministry of Culture / hhticket.gr; €30 adult flat rate 2026</t>
        </is>
      </c>
      <c r="J13" s="4" t="inlineStr">
        <is>
          <t>GR-AC</t>
        </is>
      </c>
    </row>
    <row r="14">
      <c r="A14" s="2" t="inlineStr">
        <is>
          <t>Activities</t>
        </is>
      </c>
      <c r="B14" s="2" t="inlineStr">
        <is>
          <t>Acropolis Museum</t>
        </is>
      </c>
      <c r="C14" s="2" t="inlineStr">
        <is>
          <t>€15/adult</t>
        </is>
      </c>
      <c r="D14" s="2" t="inlineStr">
        <is>
          <t>4</t>
        </is>
      </c>
      <c r="E14" s="3" t="n">
        <v>60</v>
      </c>
      <c r="F14" s="3" t="n">
        <v>71</v>
      </c>
      <c r="G14" s="3" t="n">
        <v>71</v>
      </c>
      <c r="H14" s="2" t="inlineStr">
        <is>
          <t>High</t>
        </is>
      </c>
      <c r="I14" s="2" t="inlineStr">
        <is>
          <t>Official Acropolis Museum site</t>
        </is>
      </c>
      <c r="J14" s="2" t="inlineStr">
        <is>
          <t>GR-AC</t>
        </is>
      </c>
    </row>
    <row r="15">
      <c r="A15" s="4" t="inlineStr">
        <is>
          <t>Activities</t>
        </is>
      </c>
      <c r="B15" s="4" t="inlineStr">
        <is>
          <t>Ancient Agora</t>
        </is>
      </c>
      <c r="C15" s="4" t="inlineStr">
        <is>
          <t>€10/adult</t>
        </is>
      </c>
      <c r="D15" s="4" t="inlineStr">
        <is>
          <t>4</t>
        </is>
      </c>
      <c r="E15" s="5" t="n">
        <v>0</v>
      </c>
      <c r="F15" s="5" t="n">
        <v>47</v>
      </c>
      <c r="G15" s="5" t="n">
        <v>47</v>
      </c>
      <c r="H15" s="4" t="inlineStr">
        <is>
          <t>High</t>
        </is>
      </c>
      <c r="I15" s="4" t="inlineStr">
        <is>
          <t>Greek Ministry of Culture</t>
        </is>
      </c>
      <c r="J15" s="4" t="inlineStr">
        <is>
          <t>GR-AC</t>
        </is>
      </c>
    </row>
    <row r="16">
      <c r="A16" s="2" t="inlineStr">
        <is>
          <t>Activities</t>
        </is>
      </c>
      <c r="B16" s="2" t="inlineStr">
        <is>
          <t>Naxos catamaran half-day</t>
        </is>
      </c>
      <c r="C16" s="2" t="inlineStr">
        <is>
          <t>€65–90/pp</t>
        </is>
      </c>
      <c r="D16" s="2" t="inlineStr">
        <is>
          <t>4</t>
        </is>
      </c>
      <c r="E16" s="3" t="n">
        <v>200</v>
      </c>
      <c r="F16" s="3" t="n">
        <v>280</v>
      </c>
      <c r="G16" s="3" t="n">
        <v>400</v>
      </c>
      <c r="H16" s="2" t="inlineStr">
        <is>
          <t>Medium</t>
        </is>
      </c>
      <c r="I16" s="2" t="inlineStr">
        <is>
          <t>Operator pricing estimated; varies by provider</t>
        </is>
      </c>
      <c r="J16" s="2" t="inlineStr">
        <is>
          <t>GR-AC</t>
        </is>
      </c>
    </row>
    <row r="17">
      <c r="A17" s="4" t="inlineStr">
        <is>
          <t>Activities</t>
        </is>
      </c>
      <c r="B17" s="4" t="inlineStr">
        <is>
          <t>Santorini caldera catamaran (volcano + hot springs + Red Beach)</t>
        </is>
      </c>
      <c r="C17" s="4" t="inlineStr">
        <is>
          <t>€100–130/pp</t>
        </is>
      </c>
      <c r="D17" s="4" t="inlineStr">
        <is>
          <t>4</t>
        </is>
      </c>
      <c r="E17" s="5" t="n">
        <v>320</v>
      </c>
      <c r="F17" s="5" t="n">
        <v>440</v>
      </c>
      <c r="G17" s="5" t="n">
        <v>590</v>
      </c>
      <c r="H17" s="4" t="inlineStr">
        <is>
          <t>Medium</t>
        </is>
      </c>
      <c r="I17" s="4" t="inlineStr">
        <is>
          <t>Operator estimates; book through Viator or direct</t>
        </is>
      </c>
      <c r="J17" s="4" t="inlineStr">
        <is>
          <t>GR-AC</t>
        </is>
      </c>
    </row>
    <row r="18">
      <c r="A18" s="2" t="inlineStr">
        <is>
          <t>Activities</t>
        </is>
      </c>
      <c r="B18" s="2" t="inlineStr">
        <is>
          <t>Akrotiri archaeological site</t>
        </is>
      </c>
      <c r="C18" s="2" t="inlineStr">
        <is>
          <t>€15/adult</t>
        </is>
      </c>
      <c r="D18" s="2" t="inlineStr">
        <is>
          <t>4</t>
        </is>
      </c>
      <c r="E18" s="3" t="n">
        <v>30</v>
      </c>
      <c r="F18" s="3" t="n">
        <v>71</v>
      </c>
      <c r="G18" s="3" t="n">
        <v>71</v>
      </c>
      <c r="H18" s="2" t="inlineStr">
        <is>
          <t>High</t>
        </is>
      </c>
      <c r="I18" s="2" t="inlineStr">
        <is>
          <t>Greek Ministry of Culture</t>
        </is>
      </c>
      <c r="J18" s="2" t="inlineStr">
        <is>
          <t>GR-AC</t>
        </is>
      </c>
    </row>
    <row r="19">
      <c r="A19" s="4" t="inlineStr">
        <is>
          <t>Activities</t>
        </is>
      </c>
      <c r="B19" s="4" t="inlineStr">
        <is>
          <t>Athens food/walking tour (optional)</t>
        </is>
      </c>
      <c r="C19" s="4" t="inlineStr">
        <is>
          <t>$55–70/pp</t>
        </is>
      </c>
      <c r="D19" s="4" t="inlineStr">
        <is>
          <t>4</t>
        </is>
      </c>
      <c r="E19" s="5" t="n">
        <v>0</v>
      </c>
      <c r="F19" s="5" t="n">
        <v>220</v>
      </c>
      <c r="G19" s="5" t="n">
        <v>280</v>
      </c>
      <c r="H19" s="4" t="inlineStr">
        <is>
          <t>Low</t>
        </is>
      </c>
      <c r="I19" s="4" t="inlineStr">
        <is>
          <t>Tour operator estimates</t>
        </is>
      </c>
      <c r="J19" s="4" t="inlineStr">
        <is>
          <t>GR-AC</t>
        </is>
      </c>
    </row>
    <row r="20">
      <c r="A20" s="2" t="inlineStr">
        <is>
          <t>Activities</t>
        </is>
      </c>
      <c r="B20" s="2" t="inlineStr">
        <is>
          <t>Misc (Portara free; Naxos villages; incidentals)</t>
        </is>
      </c>
      <c r="C20" s="2" t="inlineStr">
        <is>
          <t>Estimate</t>
        </is>
      </c>
      <c r="D20" s="2" t="inlineStr">
        <is>
          <t>—</t>
        </is>
      </c>
      <c r="E20" s="3" t="n">
        <v>0</v>
      </c>
      <c r="F20" s="3" t="n">
        <v>60</v>
      </c>
      <c r="G20" s="3" t="n">
        <v>120</v>
      </c>
      <c r="H20" s="2" t="inlineStr">
        <is>
          <t>Low</t>
        </is>
      </c>
      <c r="I20" s="2" t="inlineStr">
        <is>
          <t>Estimate</t>
        </is>
      </c>
      <c r="J20" s="2" t="inlineStr">
        <is>
          <t>—</t>
        </is>
      </c>
    </row>
    <row r="21">
      <c r="A21" s="4" t="inlineStr">
        <is>
          <t>Food &amp; Dining</t>
        </is>
      </c>
      <c r="B21" s="4" t="inlineStr">
        <is>
          <t>9 ground days × 4 people</t>
        </is>
      </c>
      <c r="C21" s="4" t="inlineStr">
        <is>
          <t>$50/$80/$120 pp/day</t>
        </is>
      </c>
      <c r="D21" s="4" t="inlineStr">
        <is>
          <t>36 pp-days</t>
        </is>
      </c>
      <c r="E21" s="5" t="n">
        <v>1800</v>
      </c>
      <c r="F21" s="5" t="n">
        <v>2880</v>
      </c>
      <c r="G21" s="5" t="n">
        <v>4320</v>
      </c>
      <c r="H21" s="4" t="inlineStr">
        <is>
          <t>Medium</t>
        </is>
      </c>
      <c r="I21" s="4" t="inlineStr">
        <is>
          <t>Mix of taverna lunches ($15–25/pp) + dinners ($30–60/pp); islands more expensive than Athens</t>
        </is>
      </c>
      <c r="J21" s="4" t="inlineStr">
        <is>
          <t>GR-FD</t>
        </is>
      </c>
    </row>
    <row r="22">
      <c r="A22" s="2" t="inlineStr">
        <is>
          <t>Travel Insurance</t>
        </is>
      </c>
      <c r="B22" s="2" t="inlineStr">
        <is>
          <t>Trip protection (ferries + weather)</t>
        </is>
      </c>
      <c r="C22" s="2" t="inlineStr">
        <is>
          <t>$80/pp</t>
        </is>
      </c>
      <c r="D22" s="2" t="inlineStr">
        <is>
          <t>4</t>
        </is>
      </c>
      <c r="E22" s="3" t="n">
        <v>200</v>
      </c>
      <c r="F22" s="3" t="n">
        <v>320</v>
      </c>
      <c r="G22" s="3" t="n">
        <v>500</v>
      </c>
      <c r="H22" s="2" t="inlineStr">
        <is>
          <t>Medium</t>
        </is>
      </c>
      <c r="I22" s="2" t="inlineStr">
        <is>
          <t>Recommended; covers ferry delays</t>
        </is>
      </c>
      <c r="J22" s="2" t="inlineStr">
        <is>
          <t>—</t>
        </is>
      </c>
    </row>
    <row r="23">
      <c r="A23" s="6" t="inlineStr">
        <is>
          <t>TOTAL</t>
        </is>
      </c>
      <c r="B23" s="6" t="inlineStr"/>
      <c r="C23" s="6" t="inlineStr"/>
      <c r="D23" s="6" t="inlineStr"/>
      <c r="E23" s="7">
        <f>SUM(E2:E22)</f>
        <v/>
      </c>
      <c r="F23" s="7">
        <f>SUM(F2:F22)</f>
        <v/>
      </c>
      <c r="G23" s="7">
        <f>SUM(G2:G22)</f>
        <v/>
      </c>
      <c r="H23" s="6" t="inlineStr"/>
      <c r="I23" s="6" t="inlineStr"/>
      <c r="J23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52" customWidth="1" min="9" max="9"/>
    <col width="12" customWidth="1" min="10" max="10"/>
  </cols>
  <sheetData>
    <row r="1" ht="36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 Cost</t>
        </is>
      </c>
      <c r="D1" s="1" t="inlineStr">
        <is>
          <t>Qty</t>
        </is>
      </c>
      <c r="E1" s="1" t="inlineStr">
        <is>
          <t>Low (USD)</t>
        </is>
      </c>
      <c r="F1" s="1" t="inlineStr">
        <is>
          <t>Mid (USD)</t>
        </is>
      </c>
      <c r="G1" s="1" t="inlineStr">
        <is>
          <t>High (USD)</t>
        </is>
      </c>
      <c r="H1" s="1" t="inlineStr">
        <is>
          <t>Confidence</t>
        </is>
      </c>
      <c r="I1" s="1" t="inlineStr">
        <is>
          <t>Basis</t>
        </is>
      </c>
      <c r="J1" s="1" t="inlineStr">
        <is>
          <t>Source IDs</t>
        </is>
      </c>
    </row>
    <row r="2">
      <c r="A2" s="2" t="inlineStr">
        <is>
          <t>Flights</t>
        </is>
      </c>
      <c r="B2" s="2" t="inlineStr">
        <is>
          <t>IAD→MUC round-trip economy × 4</t>
        </is>
      </c>
      <c r="C2" s="2" t="inlineStr">
        <is>
          <t>$950–1,600/pp</t>
        </is>
      </c>
      <c r="D2" s="2" t="inlineStr">
        <is>
          <t>4</t>
        </is>
      </c>
      <c r="E2" s="3" t="n">
        <v>3800</v>
      </c>
      <c r="F2" s="3" t="n">
        <v>4800</v>
      </c>
      <c r="G2" s="3" t="n">
        <v>6400</v>
      </c>
      <c r="H2" s="2" t="inlineStr">
        <is>
          <t>Medium-High</t>
        </is>
      </c>
      <c r="I2" s="2" t="inlineStr">
        <is>
          <t>Lufthansa and United IAD–MUC nonstop ~8h 10m; Icelandair via KEF lower</t>
        </is>
      </c>
      <c r="J2" s="2" t="inlineStr">
        <is>
          <t>BA-FL</t>
        </is>
      </c>
    </row>
    <row r="3">
      <c r="A3" s="4" t="inlineStr">
        <is>
          <t>Bags &amp; Seats</t>
        </is>
      </c>
      <c r="B3" s="4" t="inlineStr">
        <is>
          <t>Economy bags + seat selection</t>
        </is>
      </c>
      <c r="C3" s="4" t="inlineStr">
        <is>
          <t>$90/pp RT</t>
        </is>
      </c>
      <c r="D3" s="4" t="inlineStr">
        <is>
          <t>4</t>
        </is>
      </c>
      <c r="E3" s="5" t="n">
        <v>200</v>
      </c>
      <c r="F3" s="5" t="n">
        <v>300</v>
      </c>
      <c r="G3" s="5" t="n">
        <v>450</v>
      </c>
      <c r="H3" s="4" t="inlineStr">
        <is>
          <t>Low</t>
        </is>
      </c>
      <c r="I3" s="4" t="inlineStr">
        <is>
          <t>Carrier-dependent</t>
        </is>
      </c>
      <c r="J3" s="4" t="inlineStr">
        <is>
          <t>BA-FL</t>
        </is>
      </c>
    </row>
    <row r="4">
      <c r="A4" s="2" t="inlineStr">
        <is>
          <t>Lodging</t>
        </is>
      </c>
      <c r="B4" s="2" t="inlineStr">
        <is>
          <t>Munich — 2 nights</t>
        </is>
      </c>
      <c r="C4" s="2" t="inlineStr">
        <is>
          <t>$200–450/night</t>
        </is>
      </c>
      <c r="D4" s="2" t="inlineStr">
        <is>
          <t>2</t>
        </is>
      </c>
      <c r="E4" s="3" t="n">
        <v>400</v>
      </c>
      <c r="F4" s="3" t="n">
        <v>600</v>
      </c>
      <c r="G4" s="3" t="n">
        <v>900</v>
      </c>
      <c r="H4" s="2" t="inlineStr">
        <is>
          <t>Medium</t>
        </is>
      </c>
      <c r="I4" s="2" t="inlineStr">
        <is>
          <t>Torbräu / NH Collection / Eurostars Grand Central range</t>
        </is>
      </c>
      <c r="J4" s="2" t="inlineStr">
        <is>
          <t>BA-LO</t>
        </is>
      </c>
    </row>
    <row r="5">
      <c r="A5" s="4" t="inlineStr">
        <is>
          <t>Lodging</t>
        </is>
      </c>
      <c r="B5" s="4" t="inlineStr">
        <is>
          <t>Mittenwald — 3 nights</t>
        </is>
      </c>
      <c r="C5" s="4" t="inlineStr">
        <is>
          <t>$180–400/night</t>
        </is>
      </c>
      <c r="D5" s="4" t="inlineStr">
        <is>
          <t>3</t>
        </is>
      </c>
      <c r="E5" s="5" t="n">
        <v>540</v>
      </c>
      <c r="F5" s="5" t="n">
        <v>810</v>
      </c>
      <c r="G5" s="5" t="n">
        <v>1200</v>
      </c>
      <c r="H5" s="4" t="inlineStr">
        <is>
          <t>Medium</t>
        </is>
      </c>
      <c r="I5" s="4" t="inlineStr">
        <is>
          <t>Alpenhotel Rieger / Post Hotel range</t>
        </is>
      </c>
      <c r="J5" s="4" t="inlineStr">
        <is>
          <t>BA-LO</t>
        </is>
      </c>
    </row>
    <row r="6">
      <c r="A6" s="2" t="inlineStr">
        <is>
          <t>Lodging</t>
        </is>
      </c>
      <c r="B6" s="2" t="inlineStr">
        <is>
          <t>Berchtesgaden — 2 nights</t>
        </is>
      </c>
      <c r="C6" s="2" t="inlineStr">
        <is>
          <t>$180–450/night</t>
        </is>
      </c>
      <c r="D6" s="2" t="inlineStr">
        <is>
          <t>2</t>
        </is>
      </c>
      <c r="E6" s="3" t="n">
        <v>360</v>
      </c>
      <c r="F6" s="3" t="n">
        <v>560</v>
      </c>
      <c r="G6" s="3" t="n">
        <v>900</v>
      </c>
      <c r="H6" s="2" t="inlineStr">
        <is>
          <t>Medium</t>
        </is>
      </c>
      <c r="I6" s="2" t="inlineStr">
        <is>
          <t>Hotel Edelweiss / Vier Jahreszeiten range</t>
        </is>
      </c>
      <c r="J6" s="2" t="inlineStr">
        <is>
          <t>BA-LO</t>
        </is>
      </c>
    </row>
    <row r="7">
      <c r="A7" s="4" t="inlineStr">
        <is>
          <t>Lodging</t>
        </is>
      </c>
      <c r="B7" s="4" t="inlineStr">
        <is>
          <t>Salzburg — 2 nights (Festspiele premium applies)</t>
        </is>
      </c>
      <c r="C7" s="4" t="inlineStr">
        <is>
          <t>$250–600/night</t>
        </is>
      </c>
      <c r="D7" s="4" t="inlineStr">
        <is>
          <t>2</t>
        </is>
      </c>
      <c r="E7" s="5" t="n">
        <v>500</v>
      </c>
      <c r="F7" s="5" t="n">
        <v>750</v>
      </c>
      <c r="G7" s="5" t="n">
        <v>1200</v>
      </c>
      <c r="H7" s="4" t="inlineStr">
        <is>
          <t>Medium</t>
        </is>
      </c>
      <c r="I7" s="4" t="inlineStr">
        <is>
          <t>Hotel Wolf-Dietrich; book 5–6 months ahead for Festival dates</t>
        </is>
      </c>
      <c r="J7" s="4" t="inlineStr">
        <is>
          <t>BA-LO</t>
        </is>
      </c>
    </row>
    <row r="8">
      <c r="A8" s="2" t="inlineStr">
        <is>
          <t>Rail</t>
        </is>
      </c>
      <c r="B8" s="2" t="inlineStr">
        <is>
          <t>Bayern-Ticket family × 4 days (14yo free; 17yo = adult; €49/day)</t>
        </is>
      </c>
      <c r="C8" s="2" t="inlineStr">
        <is>
          <t>€49/day</t>
        </is>
      </c>
      <c r="D8" s="2" t="inlineStr">
        <is>
          <t>4 days</t>
        </is>
      </c>
      <c r="E8" s="3" t="n">
        <v>220</v>
      </c>
      <c r="F8" s="3" t="n">
        <v>231</v>
      </c>
      <c r="G8" s="3" t="n">
        <v>231</v>
      </c>
      <c r="H8" s="2" t="inlineStr">
        <is>
          <t>High</t>
        </is>
      </c>
      <c r="I8" s="2" t="inlineStr">
        <is>
          <t>DB official Bayern-Ticket; children 6–14 ride free with adult</t>
        </is>
      </c>
      <c r="J8" s="2" t="inlineStr">
        <is>
          <t>BA-RT</t>
        </is>
      </c>
    </row>
    <row r="9">
      <c r="A9" s="4" t="inlineStr">
        <is>
          <t>Rail</t>
        </is>
      </c>
      <c r="B9" s="4" t="inlineStr">
        <is>
          <t>Salzburg → Munich Railjet + seat reservation</t>
        </is>
      </c>
      <c r="C9" s="4" t="inlineStr">
        <is>
          <t>~$35/pp</t>
        </is>
      </c>
      <c r="D9" s="4" t="inlineStr">
        <is>
          <t>4</t>
        </is>
      </c>
      <c r="E9" s="5" t="n">
        <v>100</v>
      </c>
      <c r="F9" s="5" t="n">
        <v>140</v>
      </c>
      <c r="G9" s="5" t="n">
        <v>200</v>
      </c>
      <c r="H9" s="4" t="inlineStr">
        <is>
          <t>High</t>
        </is>
      </c>
      <c r="I9" s="4" t="inlineStr">
        <is>
          <t>ÖBB Railjet; book 3–4 weeks ahead with seat reservation</t>
        </is>
      </c>
      <c r="J9" s="4" t="inlineStr">
        <is>
          <t>BA-RT</t>
        </is>
      </c>
    </row>
    <row r="10">
      <c r="A10" s="2" t="inlineStr">
        <is>
          <t>Rail</t>
        </is>
      </c>
      <c r="B10" s="2" t="inlineStr">
        <is>
          <t>MUC airport S-Bahn round-trip (2 × family day ticket)</t>
        </is>
      </c>
      <c r="C10" s="2" t="inlineStr">
        <is>
          <t>$70/family × 2</t>
        </is>
      </c>
      <c r="D10" s="2" t="inlineStr">
        <is>
          <t>2 trips</t>
        </is>
      </c>
      <c r="E10" s="3" t="n">
        <v>80</v>
      </c>
      <c r="F10" s="3" t="n">
        <v>140</v>
      </c>
      <c r="G10" s="3" t="n">
        <v>140</v>
      </c>
      <c r="H10" s="2" t="inlineStr">
        <is>
          <t>High</t>
        </is>
      </c>
      <c r="I10" s="2" t="inlineStr">
        <is>
          <t>MVV airport day ticket</t>
        </is>
      </c>
      <c r="J10" s="2" t="inlineStr">
        <is>
          <t>BA-RT</t>
        </is>
      </c>
    </row>
    <row r="11">
      <c r="A11" s="4" t="inlineStr">
        <is>
          <t>Transit</t>
        </is>
      </c>
      <c r="B11" s="4" t="inlineStr">
        <is>
          <t>Bus 840 Berchtesgaden → Salzburg (family)</t>
        </is>
      </c>
      <c r="C11" s="4" t="inlineStr">
        <is>
          <t>~€11/pp</t>
        </is>
      </c>
      <c r="D11" s="4" t="inlineStr">
        <is>
          <t>4</t>
        </is>
      </c>
      <c r="E11" s="5" t="n">
        <v>35</v>
      </c>
      <c r="F11" s="5" t="n">
        <v>52</v>
      </c>
      <c r="G11" s="5" t="n">
        <v>52</v>
      </c>
      <c r="H11" s="4" t="inlineStr">
        <is>
          <t>High</t>
        </is>
      </c>
      <c r="I11" s="4" t="inlineStr">
        <is>
          <t>Regional bus; not covered by Bayern-Ticket</t>
        </is>
      </c>
      <c r="J11" s="4" t="inlineStr">
        <is>
          <t>BA-RT</t>
        </is>
      </c>
    </row>
    <row r="12">
      <c r="A12" s="2" t="inlineStr">
        <is>
          <t>Transit</t>
        </is>
      </c>
      <c r="B12" s="2" t="inlineStr">
        <is>
          <t>Local Berchtesgaden buses (Eagle's Nest + Königssee; 2 days)</t>
        </is>
      </c>
      <c r="C12" s="2" t="inlineStr">
        <is>
          <t>~€8/pp/day</t>
        </is>
      </c>
      <c r="D12" s="2" t="inlineStr">
        <is>
          <t>4 pp × 2 days</t>
        </is>
      </c>
      <c r="E12" s="3" t="n">
        <v>30</v>
      </c>
      <c r="F12" s="3" t="n">
        <v>38</v>
      </c>
      <c r="G12" s="3" t="n">
        <v>38</v>
      </c>
      <c r="H12" s="2" t="inlineStr">
        <is>
          <t>High</t>
        </is>
      </c>
      <c r="I12" s="2" t="inlineStr">
        <is>
          <t>Berchtesgaden local transit</t>
        </is>
      </c>
      <c r="J12" s="2" t="inlineStr">
        <is>
          <t>BA-RT</t>
        </is>
      </c>
    </row>
    <row r="13">
      <c r="A13" s="4" t="inlineStr">
        <is>
          <t>Activities</t>
        </is>
      </c>
      <c r="B13" s="4" t="inlineStr">
        <is>
          <t>Deutsches Museum</t>
        </is>
      </c>
      <c r="C13" s="4" t="inlineStr">
        <is>
          <t>€15/adult; €4.50/youth</t>
        </is>
      </c>
      <c r="D13" s="4" t="inlineStr">
        <is>
          <t>2+2</t>
        </is>
      </c>
      <c r="E13" s="5" t="n">
        <v>30</v>
      </c>
      <c r="F13" s="5" t="n">
        <v>45</v>
      </c>
      <c r="G13" s="5" t="n">
        <v>45</v>
      </c>
      <c r="H13" s="4" t="inlineStr">
        <is>
          <t>High</t>
        </is>
      </c>
      <c r="I13" s="4" t="inlineStr">
        <is>
          <t>Deutsches Museum official site</t>
        </is>
      </c>
      <c r="J13" s="4" t="inlineStr">
        <is>
          <t>BA-AC</t>
        </is>
      </c>
    </row>
    <row r="14">
      <c r="A14" s="2" t="inlineStr">
        <is>
          <t>Activities</t>
        </is>
      </c>
      <c r="B14" s="2" t="inlineStr">
        <is>
          <t>BMW Welt (free) + BMW Museum</t>
        </is>
      </c>
      <c r="C14" s="2" t="inlineStr">
        <is>
          <t>€10/adult</t>
        </is>
      </c>
      <c r="D14" s="2" t="inlineStr">
        <is>
          <t>2</t>
        </is>
      </c>
      <c r="E14" s="3" t="n">
        <v>0</v>
      </c>
      <c r="F14" s="3" t="n">
        <v>24</v>
      </c>
      <c r="G14" s="3" t="n">
        <v>24</v>
      </c>
      <c r="H14" s="2" t="inlineStr">
        <is>
          <t>High</t>
        </is>
      </c>
      <c r="I14" s="2" t="inlineStr">
        <is>
          <t>BMW Museum official site</t>
        </is>
      </c>
      <c r="J14" s="2" t="inlineStr">
        <is>
          <t>BA-AC</t>
        </is>
      </c>
    </row>
    <row r="15">
      <c r="A15" s="4" t="inlineStr">
        <is>
          <t>Activities</t>
        </is>
      </c>
      <c r="B15" s="4" t="inlineStr">
        <is>
          <t>Karwendelbahn cable car (3 adults incl. 17yo; 14yo free)</t>
        </is>
      </c>
      <c r="C15" s="4" t="inlineStr">
        <is>
          <t>€33/adult</t>
        </is>
      </c>
      <c r="D15" s="4" t="inlineStr">
        <is>
          <t>3</t>
        </is>
      </c>
      <c r="E15" s="5" t="n">
        <v>0</v>
      </c>
      <c r="F15" s="5" t="n">
        <v>117</v>
      </c>
      <c r="G15" s="5" t="n">
        <v>117</v>
      </c>
      <c r="H15" s="4" t="inlineStr">
        <is>
          <t>High</t>
        </is>
      </c>
      <c r="I15" s="4" t="inlineStr">
        <is>
          <t>Karwendelbahn official; free under 15</t>
        </is>
      </c>
      <c r="J15" s="4" t="inlineStr">
        <is>
          <t>BA-AC</t>
        </is>
      </c>
    </row>
    <row r="16">
      <c r="A16" s="2" t="inlineStr">
        <is>
          <t>Activities</t>
        </is>
      </c>
      <c r="B16" s="2" t="inlineStr">
        <is>
          <t>Zugspitze family combo (cogwheel + cable car)</t>
        </is>
      </c>
      <c r="C16" s="2" t="inlineStr">
        <is>
          <t>~$195 family</t>
        </is>
      </c>
      <c r="D16" s="2" t="inlineStr">
        <is>
          <t>1</t>
        </is>
      </c>
      <c r="E16" s="3" t="n">
        <v>180</v>
      </c>
      <c r="F16" s="3" t="n">
        <v>195</v>
      </c>
      <c r="G16" s="3" t="n">
        <v>230</v>
      </c>
      <c r="H16" s="2" t="inlineStr">
        <is>
          <t>Medium</t>
        </is>
      </c>
      <c r="I16" s="2" t="inlineStr">
        <is>
          <t>Zugspitze.de summer 2026; family/youth pricing applies</t>
        </is>
      </c>
      <c r="J16" s="2" t="inlineStr">
        <is>
          <t>BA-AC</t>
        </is>
      </c>
    </row>
    <row r="17">
      <c r="A17" s="4" t="inlineStr">
        <is>
          <t>Activities</t>
        </is>
      </c>
      <c r="B17" s="4" t="inlineStr">
        <is>
          <t>Partnach Gorge</t>
        </is>
      </c>
      <c r="C17" s="4" t="inlineStr">
        <is>
          <t>€7/adult</t>
        </is>
      </c>
      <c r="D17" s="4" t="inlineStr">
        <is>
          <t>4</t>
        </is>
      </c>
      <c r="E17" s="5" t="n">
        <v>30</v>
      </c>
      <c r="F17" s="5" t="n">
        <v>33</v>
      </c>
      <c r="G17" s="5" t="n">
        <v>33</v>
      </c>
      <c r="H17" s="4" t="inlineStr">
        <is>
          <t>High</t>
        </is>
      </c>
      <c r="I17" s="4" t="inlineStr">
        <is>
          <t>Official Partnach Gorge entry</t>
        </is>
      </c>
      <c r="J17" s="4" t="inlineStr">
        <is>
          <t>BA-AC</t>
        </is>
      </c>
    </row>
    <row r="18">
      <c r="A18" s="2" t="inlineStr">
        <is>
          <t>Activities</t>
        </is>
      </c>
      <c r="B18" s="2" t="inlineStr">
        <is>
          <t>Königssee electric boat round-trip to Salet</t>
        </is>
      </c>
      <c r="C18" s="2" t="inlineStr">
        <is>
          <t>€22/adult; €11/youth (14yo)</t>
        </is>
      </c>
      <c r="D18" s="2" t="inlineStr">
        <is>
          <t>4</t>
        </is>
      </c>
      <c r="E18" s="3" t="n">
        <v>80</v>
      </c>
      <c r="F18" s="3" t="n">
        <v>92</v>
      </c>
      <c r="G18" s="3" t="n">
        <v>92</v>
      </c>
      <c r="H18" s="2" t="inlineStr">
        <is>
          <t>High</t>
        </is>
      </c>
      <c r="I18" s="2" t="inlineStr">
        <is>
          <t>Bayerische Seenschifffahrt official pricing</t>
        </is>
      </c>
      <c r="J18" s="2" t="inlineStr">
        <is>
          <t>BA-AC</t>
        </is>
      </c>
    </row>
    <row r="19">
      <c r="A19" s="4" t="inlineStr">
        <is>
          <t>Activities</t>
        </is>
      </c>
      <c r="B19" s="4" t="inlineStr">
        <is>
          <t>Eagle's Nest (Kehlstein bus + tunnel elevator)</t>
        </is>
      </c>
      <c r="C19" s="4" t="inlineStr">
        <is>
          <t>€36.10/adult; €21/youth</t>
        </is>
      </c>
      <c r="D19" s="4" t="inlineStr">
        <is>
          <t>4</t>
        </is>
      </c>
      <c r="E19" s="5" t="n">
        <v>110</v>
      </c>
      <c r="F19" s="5" t="n">
        <v>143</v>
      </c>
      <c r="G19" s="5" t="n">
        <v>143</v>
      </c>
      <c r="H19" s="4" t="inlineStr">
        <is>
          <t>High</t>
        </is>
      </c>
      <c r="I19" s="4" t="inlineStr">
        <is>
          <t>Official Kehlstein; credit card only at top</t>
        </is>
      </c>
      <c r="J19" s="4" t="inlineStr">
        <is>
          <t>BA-AC</t>
        </is>
      </c>
    </row>
    <row r="20">
      <c r="A20" s="2" t="inlineStr">
        <is>
          <t>Activities</t>
        </is>
      </c>
      <c r="B20" s="2" t="inlineStr">
        <is>
          <t>Documentation Center Obersalzberg</t>
        </is>
      </c>
      <c r="C20" s="2" t="inlineStr">
        <is>
          <t>€6/adult</t>
        </is>
      </c>
      <c r="D20" s="2" t="inlineStr">
        <is>
          <t>4</t>
        </is>
      </c>
      <c r="E20" s="3" t="n">
        <v>28</v>
      </c>
      <c r="F20" s="3" t="n">
        <v>28</v>
      </c>
      <c r="G20" s="3" t="n">
        <v>28</v>
      </c>
      <c r="H20" s="2" t="inlineStr">
        <is>
          <t>High</t>
        </is>
      </c>
      <c r="I20" s="2" t="inlineStr">
        <is>
          <t>Official Berchtesgaden tourism</t>
        </is>
      </c>
      <c r="J20" s="2" t="inlineStr">
        <is>
          <t>BA-AC</t>
        </is>
      </c>
    </row>
    <row r="21">
      <c r="A21" s="4" t="inlineStr">
        <is>
          <t>Activities</t>
        </is>
      </c>
      <c r="B21" s="4" t="inlineStr">
        <is>
          <t>Hohensalzburg Fortress funicular</t>
        </is>
      </c>
      <c r="C21" s="4" t="inlineStr">
        <is>
          <t>€14.50/adult; €8.30/youth</t>
        </is>
      </c>
      <c r="D21" s="4" t="inlineStr">
        <is>
          <t>4</t>
        </is>
      </c>
      <c r="E21" s="5" t="n">
        <v>45</v>
      </c>
      <c r="F21" s="5" t="n">
        <v>63</v>
      </c>
      <c r="G21" s="5" t="n">
        <v>63</v>
      </c>
      <c r="H21" s="4" t="inlineStr">
        <is>
          <t>High</t>
        </is>
      </c>
      <c r="I21" s="4" t="inlineStr">
        <is>
          <t>Festung Salzburg official</t>
        </is>
      </c>
      <c r="J21" s="4" t="inlineStr">
        <is>
          <t>BA-AC</t>
        </is>
      </c>
    </row>
    <row r="22">
      <c r="A22" s="2" t="inlineStr">
        <is>
          <t>Activities</t>
        </is>
      </c>
      <c r="B22" s="2" t="inlineStr">
        <is>
          <t>Mozart's Birthplace</t>
        </is>
      </c>
      <c r="C22" s="2" t="inlineStr">
        <is>
          <t>€13.50/adult</t>
        </is>
      </c>
      <c r="D22" s="2" t="inlineStr">
        <is>
          <t>4</t>
        </is>
      </c>
      <c r="E22" s="3" t="n">
        <v>0</v>
      </c>
      <c r="F22" s="3" t="n">
        <v>64</v>
      </c>
      <c r="G22" s="3" t="n">
        <v>64</v>
      </c>
      <c r="H22" s="2" t="inlineStr">
        <is>
          <t>High</t>
        </is>
      </c>
      <c r="I22" s="2" t="inlineStr">
        <is>
          <t>Mozarteum Foundation</t>
        </is>
      </c>
      <c r="J22" s="2" t="inlineStr">
        <is>
          <t>BA-AC</t>
        </is>
      </c>
    </row>
    <row r="23">
      <c r="A23" s="4" t="inlineStr">
        <is>
          <t>Activities</t>
        </is>
      </c>
      <c r="B23" s="4" t="inlineStr">
        <is>
          <t>Optional: Neuschwanstein guided day tour</t>
        </is>
      </c>
      <c r="C23" s="4" t="inlineStr">
        <is>
          <t>~$75/pp</t>
        </is>
      </c>
      <c r="D23" s="4" t="inlineStr">
        <is>
          <t>4</t>
        </is>
      </c>
      <c r="E23" s="5" t="n">
        <v>0</v>
      </c>
      <c r="F23" s="5" t="n">
        <v>0</v>
      </c>
      <c r="G23" s="5" t="n">
        <v>300</v>
      </c>
      <c r="H23" s="4" t="inlineStr">
        <is>
          <t>Low</t>
        </is>
      </c>
      <c r="I23" s="4" t="inlineStr">
        <is>
          <t>Guided tour from Munich; NOT in core plan</t>
        </is>
      </c>
      <c r="J23" s="4" t="inlineStr">
        <is>
          <t>BA-AC</t>
        </is>
      </c>
    </row>
    <row r="24">
      <c r="A24" s="2" t="inlineStr">
        <is>
          <t>Activities</t>
        </is>
      </c>
      <c r="B24" s="2" t="inlineStr">
        <is>
          <t>Optional: Berchtesgaden salt mine</t>
        </is>
      </c>
      <c r="C24" s="2" t="inlineStr">
        <is>
          <t>€23/adult</t>
        </is>
      </c>
      <c r="D24" s="2" t="inlineStr">
        <is>
          <t>4</t>
        </is>
      </c>
      <c r="E24" s="3" t="n">
        <v>0</v>
      </c>
      <c r="F24" s="3" t="n">
        <v>0</v>
      </c>
      <c r="G24" s="3" t="n">
        <v>109</v>
      </c>
      <c r="H24" s="2" t="inlineStr">
        <is>
          <t>Medium</t>
        </is>
      </c>
      <c r="I24" s="2" t="inlineStr">
        <is>
          <t>Salzbergwerk official site</t>
        </is>
      </c>
      <c r="J24" s="2" t="inlineStr">
        <is>
          <t>BA-AC</t>
        </is>
      </c>
    </row>
    <row r="25">
      <c r="A25" s="4" t="inlineStr">
        <is>
          <t>Activities</t>
        </is>
      </c>
      <c r="B25" s="4" t="inlineStr">
        <is>
          <t>Misc (village fees; incidentals)</t>
        </is>
      </c>
      <c r="C25" s="4" t="inlineStr">
        <is>
          <t>Estimate</t>
        </is>
      </c>
      <c r="D25" s="4" t="inlineStr">
        <is>
          <t>—</t>
        </is>
      </c>
      <c r="E25" s="5" t="n">
        <v>50</v>
      </c>
      <c r="F25" s="5" t="n">
        <v>80</v>
      </c>
      <c r="G25" s="5" t="n">
        <v>120</v>
      </c>
      <c r="H25" s="4" t="inlineStr">
        <is>
          <t>Low</t>
        </is>
      </c>
      <c r="I25" s="4" t="inlineStr">
        <is>
          <t>Estimate</t>
        </is>
      </c>
      <c r="J25" s="4" t="inlineStr">
        <is>
          <t>—</t>
        </is>
      </c>
    </row>
    <row r="26">
      <c r="A26" s="2" t="inlineStr">
        <is>
          <t>Food &amp; Dining</t>
        </is>
      </c>
      <c r="B26" s="2" t="inlineStr">
        <is>
          <t>9 ground days × 4 people</t>
        </is>
      </c>
      <c r="C26" s="2" t="inlineStr">
        <is>
          <t>$40/$65/$100 pp/day</t>
        </is>
      </c>
      <c r="D26" s="2" t="inlineStr">
        <is>
          <t>36 pp-days</t>
        </is>
      </c>
      <c r="E26" s="3" t="n">
        <v>1440</v>
      </c>
      <c r="F26" s="3" t="n">
        <v>2340</v>
      </c>
      <c r="G26" s="3" t="n">
        <v>3600</v>
      </c>
      <c r="H26" s="2" t="inlineStr">
        <is>
          <t>Medium</t>
        </is>
      </c>
      <c r="I26" s="2" t="inlineStr">
        <is>
          <t>Bakery breakfasts; beer-garden lunches; one sit-down dinner/day</t>
        </is>
      </c>
      <c r="J26" s="2" t="inlineStr">
        <is>
          <t>BA-FD</t>
        </is>
      </c>
    </row>
    <row r="27">
      <c r="A27" s="4" t="inlineStr">
        <is>
          <t>Travel Insurance</t>
        </is>
      </c>
      <c r="B27" s="4" t="inlineStr">
        <is>
          <t>Trip protection</t>
        </is>
      </c>
      <c r="C27" s="4" t="inlineStr">
        <is>
          <t>$75/pp</t>
        </is>
      </c>
      <c r="D27" s="4" t="inlineStr">
        <is>
          <t>4</t>
        </is>
      </c>
      <c r="E27" s="5" t="n">
        <v>200</v>
      </c>
      <c r="F27" s="5" t="n">
        <v>300</v>
      </c>
      <c r="G27" s="5" t="n">
        <v>450</v>
      </c>
      <c r="H27" s="4" t="inlineStr">
        <is>
          <t>Medium</t>
        </is>
      </c>
      <c r="I27" s="4" t="inlineStr">
        <is>
          <t>Standard comprehensive policy</t>
        </is>
      </c>
      <c r="J27" s="4" t="inlineStr">
        <is>
          <t>—</t>
        </is>
      </c>
    </row>
    <row r="28">
      <c r="A28" s="6" t="inlineStr">
        <is>
          <t>TOTAL</t>
        </is>
      </c>
      <c r="B28" s="6" t="inlineStr"/>
      <c r="C28" s="6" t="inlineStr"/>
      <c r="D28" s="6" t="inlineStr"/>
      <c r="E28" s="7">
        <f>SUM(E2:E27)</f>
        <v/>
      </c>
      <c r="F28" s="7">
        <f>SUM(F2:F27)</f>
        <v/>
      </c>
      <c r="G28" s="7">
        <f>SUM(G2:G27)</f>
        <v/>
      </c>
      <c r="H28" s="6" t="inlineStr"/>
      <c r="I28" s="6" t="inlineStr"/>
      <c r="J28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52" customWidth="1" min="9" max="9"/>
    <col width="12" customWidth="1" min="10" max="10"/>
  </cols>
  <sheetData>
    <row r="1" ht="36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 Cost</t>
        </is>
      </c>
      <c r="D1" s="1" t="inlineStr">
        <is>
          <t>Qty</t>
        </is>
      </c>
      <c r="E1" s="1" t="inlineStr">
        <is>
          <t>Low (USD)</t>
        </is>
      </c>
      <c r="F1" s="1" t="inlineStr">
        <is>
          <t>Mid (USD)</t>
        </is>
      </c>
      <c r="G1" s="1" t="inlineStr">
        <is>
          <t>High (USD)</t>
        </is>
      </c>
      <c r="H1" s="1" t="inlineStr">
        <is>
          <t>Confidence</t>
        </is>
      </c>
      <c r="I1" s="1" t="inlineStr">
        <is>
          <t>Basis</t>
        </is>
      </c>
      <c r="J1" s="1" t="inlineStr">
        <is>
          <t>Source IDs</t>
        </is>
      </c>
    </row>
    <row r="2">
      <c r="A2" s="2" t="inlineStr">
        <is>
          <t>Flights</t>
        </is>
      </c>
      <c r="B2" s="2" t="inlineStr">
        <is>
          <t>IAD→MUC round-trip economy × 4</t>
        </is>
      </c>
      <c r="C2" s="2" t="inlineStr">
        <is>
          <t>$950–1,600/pp</t>
        </is>
      </c>
      <c r="D2" s="2" t="inlineStr">
        <is>
          <t>4</t>
        </is>
      </c>
      <c r="E2" s="3" t="n">
        <v>3800</v>
      </c>
      <c r="F2" s="3" t="n">
        <v>4800</v>
      </c>
      <c r="G2" s="3" t="n">
        <v>6400</v>
      </c>
      <c r="H2" s="2" t="inlineStr">
        <is>
          <t>Medium-High</t>
        </is>
      </c>
      <c r="I2" s="2" t="inlineStr">
        <is>
          <t>Same IAD–MUC routing as Option 1; Lufthansa/United nonstop</t>
        </is>
      </c>
      <c r="J2" s="2" t="inlineStr">
        <is>
          <t>BA-FL</t>
        </is>
      </c>
    </row>
    <row r="3">
      <c r="A3" s="4" t="inlineStr">
        <is>
          <t>Bags &amp; Seats</t>
        </is>
      </c>
      <c r="B3" s="4" t="inlineStr">
        <is>
          <t>Economy bags + seat selection</t>
        </is>
      </c>
      <c r="C3" s="4" t="inlineStr">
        <is>
          <t>$90/pp RT</t>
        </is>
      </c>
      <c r="D3" s="4" t="inlineStr">
        <is>
          <t>4</t>
        </is>
      </c>
      <c r="E3" s="5" t="n">
        <v>200</v>
      </c>
      <c r="F3" s="5" t="n">
        <v>300</v>
      </c>
      <c r="G3" s="5" t="n">
        <v>450</v>
      </c>
      <c r="H3" s="4" t="inlineStr">
        <is>
          <t>Low</t>
        </is>
      </c>
      <c r="I3" s="4" t="inlineStr">
        <is>
          <t>Carrier-dependent</t>
        </is>
      </c>
      <c r="J3" s="4" t="inlineStr">
        <is>
          <t>BA-FL</t>
        </is>
      </c>
    </row>
    <row r="4">
      <c r="A4" s="2" t="inlineStr">
        <is>
          <t>Lodging</t>
        </is>
      </c>
      <c r="B4" s="2" t="inlineStr">
        <is>
          <t>Munich — 4 nights</t>
        </is>
      </c>
      <c r="C4" s="2" t="inlineStr">
        <is>
          <t>$200–450/night</t>
        </is>
      </c>
      <c r="D4" s="2" t="inlineStr">
        <is>
          <t>4</t>
        </is>
      </c>
      <c r="E4" s="3" t="n">
        <v>800</v>
      </c>
      <c r="F4" s="3" t="n">
        <v>1200</v>
      </c>
      <c r="G4" s="3" t="n">
        <v>1800</v>
      </c>
      <c r="H4" s="2" t="inlineStr">
        <is>
          <t>Medium</t>
        </is>
      </c>
      <c r="I4" s="2" t="inlineStr">
        <is>
          <t>Same hotel range as Option 1; 2 additional nights</t>
        </is>
      </c>
      <c r="J4" s="2" t="inlineStr">
        <is>
          <t>BA-LO</t>
        </is>
      </c>
    </row>
    <row r="5">
      <c r="A5" s="4" t="inlineStr">
        <is>
          <t>Lodging</t>
        </is>
      </c>
      <c r="B5" s="4" t="inlineStr">
        <is>
          <t>Berchtesgaden — 2 nights</t>
        </is>
      </c>
      <c r="C5" s="4" t="inlineStr">
        <is>
          <t>$180–450/night</t>
        </is>
      </c>
      <c r="D5" s="4" t="inlineStr">
        <is>
          <t>2</t>
        </is>
      </c>
      <c r="E5" s="5" t="n">
        <v>360</v>
      </c>
      <c r="F5" s="5" t="n">
        <v>560</v>
      </c>
      <c r="G5" s="5" t="n">
        <v>900</v>
      </c>
      <c r="H5" s="4" t="inlineStr">
        <is>
          <t>Medium</t>
        </is>
      </c>
      <c r="I5" s="4" t="inlineStr">
        <is>
          <t>Hotel Edelweiss / Vier Jahreszeiten range</t>
        </is>
      </c>
      <c r="J5" s="4" t="inlineStr">
        <is>
          <t>BA-LO</t>
        </is>
      </c>
    </row>
    <row r="6">
      <c r="A6" s="2" t="inlineStr">
        <is>
          <t>Lodging</t>
        </is>
      </c>
      <c r="B6" s="2" t="inlineStr">
        <is>
          <t>Salzburg — 3 nights (Festspiele premium applies)</t>
        </is>
      </c>
      <c r="C6" s="2" t="inlineStr">
        <is>
          <t>$250–600/night</t>
        </is>
      </c>
      <c r="D6" s="2" t="inlineStr">
        <is>
          <t>3</t>
        </is>
      </c>
      <c r="E6" s="3" t="n">
        <v>750</v>
      </c>
      <c r="F6" s="3" t="n">
        <v>1125</v>
      </c>
      <c r="G6" s="3" t="n">
        <v>1800</v>
      </c>
      <c r="H6" s="2" t="inlineStr">
        <is>
          <t>Medium</t>
        </is>
      </c>
      <c r="I6" s="2" t="inlineStr">
        <is>
          <t>1 additional night vs. Option 1; book 5–6 months ahead</t>
        </is>
      </c>
      <c r="J6" s="2" t="inlineStr">
        <is>
          <t>BA-LO</t>
        </is>
      </c>
    </row>
    <row r="7">
      <c r="A7" s="4" t="inlineStr">
        <is>
          <t>Rail</t>
        </is>
      </c>
      <c r="B7" s="4" t="inlineStr">
        <is>
          <t>Bayern-Ticket × 2 days (Neuschwanstein + Munich→Berchtesgaden)</t>
        </is>
      </c>
      <c r="C7" s="4" t="inlineStr">
        <is>
          <t>€49/day</t>
        </is>
      </c>
      <c r="D7" s="4" t="inlineStr">
        <is>
          <t>2 days</t>
        </is>
      </c>
      <c r="E7" s="5" t="n">
        <v>110</v>
      </c>
      <c r="F7" s="5" t="n">
        <v>116</v>
      </c>
      <c r="G7" s="5" t="n">
        <v>116</v>
      </c>
      <c r="H7" s="4" t="inlineStr">
        <is>
          <t>High</t>
        </is>
      </c>
      <c r="I7" s="4" t="inlineStr">
        <is>
          <t>DB Bayern-Ticket; 14yo free; 17yo adult rate</t>
        </is>
      </c>
      <c r="J7" s="4" t="inlineStr">
        <is>
          <t>BA-RT</t>
        </is>
      </c>
    </row>
    <row r="8">
      <c r="A8" s="2" t="inlineStr">
        <is>
          <t>Transit</t>
        </is>
      </c>
      <c r="B8" s="2" t="inlineStr">
        <is>
          <t>Munich local transit — non–Bayern-Ticket days (MVV day tickets)</t>
        </is>
      </c>
      <c r="C8" s="2" t="inlineStr">
        <is>
          <t>~$25/family/day</t>
        </is>
      </c>
      <c r="D8" s="2" t="inlineStr">
        <is>
          <t>4 days</t>
        </is>
      </c>
      <c r="E8" s="3" t="n">
        <v>60</v>
      </c>
      <c r="F8" s="3" t="n">
        <v>100</v>
      </c>
      <c r="G8" s="3" t="n">
        <v>100</v>
      </c>
      <c r="H8" s="2" t="inlineStr">
        <is>
          <t>High</t>
        </is>
      </c>
      <c r="I8" s="2" t="inlineStr">
        <is>
          <t>MVV day tickets; S-Bahn and U-Bahn</t>
        </is>
      </c>
      <c r="J8" s="2" t="inlineStr">
        <is>
          <t>BA-RT</t>
        </is>
      </c>
    </row>
    <row r="9">
      <c r="A9" s="4" t="inlineStr">
        <is>
          <t>Rail</t>
        </is>
      </c>
      <c r="B9" s="4" t="inlineStr">
        <is>
          <t>Salzburg → Munich Railjet + seat reservation</t>
        </is>
      </c>
      <c r="C9" s="4" t="inlineStr">
        <is>
          <t>~$35/pp</t>
        </is>
      </c>
      <c r="D9" s="4" t="inlineStr">
        <is>
          <t>4</t>
        </is>
      </c>
      <c r="E9" s="5" t="n">
        <v>100</v>
      </c>
      <c r="F9" s="5" t="n">
        <v>140</v>
      </c>
      <c r="G9" s="5" t="n">
        <v>200</v>
      </c>
      <c r="H9" s="4" t="inlineStr">
        <is>
          <t>High</t>
        </is>
      </c>
      <c r="I9" s="4" t="inlineStr">
        <is>
          <t>ÖBB Railjet; book 3–4 weeks ahead</t>
        </is>
      </c>
      <c r="J9" s="4" t="inlineStr">
        <is>
          <t>BA-RT</t>
        </is>
      </c>
    </row>
    <row r="10">
      <c r="A10" s="2" t="inlineStr">
        <is>
          <t>Rail</t>
        </is>
      </c>
      <c r="B10" s="2" t="inlineStr">
        <is>
          <t>MUC airport S-Bahn round-trip (2 × family day ticket)</t>
        </is>
      </c>
      <c r="C10" s="2" t="inlineStr">
        <is>
          <t>$70/family × 2</t>
        </is>
      </c>
      <c r="D10" s="2" t="inlineStr">
        <is>
          <t>2 trips</t>
        </is>
      </c>
      <c r="E10" s="3" t="n">
        <v>80</v>
      </c>
      <c r="F10" s="3" t="n">
        <v>140</v>
      </c>
      <c r="G10" s="3" t="n">
        <v>140</v>
      </c>
      <c r="H10" s="2" t="inlineStr">
        <is>
          <t>High</t>
        </is>
      </c>
      <c r="I10" s="2" t="inlineStr">
        <is>
          <t>MVV airport day ticket</t>
        </is>
      </c>
      <c r="J10" s="2" t="inlineStr">
        <is>
          <t>BA-RT</t>
        </is>
      </c>
    </row>
    <row r="11">
      <c r="A11" s="4" t="inlineStr">
        <is>
          <t>Transit</t>
        </is>
      </c>
      <c r="B11" s="4" t="inlineStr">
        <is>
          <t>Bus 840 Berchtesgaden → Salzburg (family)</t>
        </is>
      </c>
      <c r="C11" s="4" t="inlineStr">
        <is>
          <t>~€11/pp</t>
        </is>
      </c>
      <c r="D11" s="4" t="inlineStr">
        <is>
          <t>4</t>
        </is>
      </c>
      <c r="E11" s="5" t="n">
        <v>35</v>
      </c>
      <c r="F11" s="5" t="n">
        <v>52</v>
      </c>
      <c r="G11" s="5" t="n">
        <v>52</v>
      </c>
      <c r="H11" s="4" t="inlineStr">
        <is>
          <t>High</t>
        </is>
      </c>
      <c r="I11" s="4" t="inlineStr">
        <is>
          <t>Regional bus; not covered by Bayern-Ticket</t>
        </is>
      </c>
      <c r="J11" s="4" t="inlineStr">
        <is>
          <t>BA-RT</t>
        </is>
      </c>
    </row>
    <row r="12">
      <c r="A12" s="2" t="inlineStr">
        <is>
          <t>Transit</t>
        </is>
      </c>
      <c r="B12" s="2" t="inlineStr">
        <is>
          <t>Local Berchtesgaden buses (Eagle's Nest + Königssee; 2 days)</t>
        </is>
      </c>
      <c r="C12" s="2" t="inlineStr">
        <is>
          <t>~€8/pp/day</t>
        </is>
      </c>
      <c r="D12" s="2" t="inlineStr">
        <is>
          <t>4 pp × 2 days</t>
        </is>
      </c>
      <c r="E12" s="3" t="n">
        <v>30</v>
      </c>
      <c r="F12" s="3" t="n">
        <v>38</v>
      </c>
      <c r="G12" s="3" t="n">
        <v>38</v>
      </c>
      <c r="H12" s="2" t="inlineStr">
        <is>
          <t>High</t>
        </is>
      </c>
      <c r="I12" s="2" t="inlineStr">
        <is>
          <t>Berchtesgaden local transit</t>
        </is>
      </c>
      <c r="J12" s="2" t="inlineStr">
        <is>
          <t>BA-RT</t>
        </is>
      </c>
    </row>
    <row r="13">
      <c r="A13" s="4" t="inlineStr">
        <is>
          <t>Activities</t>
        </is>
      </c>
      <c r="B13" s="4" t="inlineStr">
        <is>
          <t>Deutsches Museum</t>
        </is>
      </c>
      <c r="C13" s="4" t="inlineStr">
        <is>
          <t>€15/adult; €4.50/youth</t>
        </is>
      </c>
      <c r="D13" s="4" t="inlineStr">
        <is>
          <t>2+2</t>
        </is>
      </c>
      <c r="E13" s="5" t="n">
        <v>30</v>
      </c>
      <c r="F13" s="5" t="n">
        <v>45</v>
      </c>
      <c r="G13" s="5" t="n">
        <v>45</v>
      </c>
      <c r="H13" s="4" t="inlineStr">
        <is>
          <t>High</t>
        </is>
      </c>
      <c r="I13" s="4" t="inlineStr">
        <is>
          <t>Deutsches Museum official site</t>
        </is>
      </c>
      <c r="J13" s="4" t="inlineStr">
        <is>
          <t>BA-AC</t>
        </is>
      </c>
    </row>
    <row r="14">
      <c r="A14" s="2" t="inlineStr">
        <is>
          <t>Activities</t>
        </is>
      </c>
      <c r="B14" s="2" t="inlineStr">
        <is>
          <t>BMW Welt (free) + BMW Museum</t>
        </is>
      </c>
      <c r="C14" s="2" t="inlineStr">
        <is>
          <t>€10/adult</t>
        </is>
      </c>
      <c r="D14" s="2" t="inlineStr">
        <is>
          <t>2</t>
        </is>
      </c>
      <c r="E14" s="3" t="n">
        <v>0</v>
      </c>
      <c r="F14" s="3" t="n">
        <v>24</v>
      </c>
      <c r="G14" s="3" t="n">
        <v>24</v>
      </c>
      <c r="H14" s="2" t="inlineStr">
        <is>
          <t>High</t>
        </is>
      </c>
      <c r="I14" s="2" t="inlineStr">
        <is>
          <t>BMW Museum official site</t>
        </is>
      </c>
      <c r="J14" s="2" t="inlineStr">
        <is>
          <t>BA-AC</t>
        </is>
      </c>
    </row>
    <row r="15">
      <c r="A15" s="4" t="inlineStr">
        <is>
          <t>Activities</t>
        </is>
      </c>
      <c r="B15" s="4" t="inlineStr">
        <is>
          <t>Neuschwanstein Castle (timed interior tour + Füssen bus)</t>
        </is>
      </c>
      <c r="C15" s="4" t="inlineStr">
        <is>
          <t>€15/adult; under 18 free</t>
        </is>
      </c>
      <c r="D15" s="4" t="inlineStr">
        <is>
          <t>4</t>
        </is>
      </c>
      <c r="E15" s="5" t="n">
        <v>80</v>
      </c>
      <c r="F15" s="5" t="n">
        <v>200</v>
      </c>
      <c r="G15" s="5" t="n">
        <v>280</v>
      </c>
      <c r="H15" s="4" t="inlineStr">
        <is>
          <t>Medium</t>
        </is>
      </c>
      <c r="I15" s="4" t="inlineStr">
        <is>
          <t>tickets.hohenschwangau.de; under 18 free with guardian; July sells out weeks ahead</t>
        </is>
      </c>
      <c r="J15" s="4" t="inlineStr">
        <is>
          <t>BA2-AC</t>
        </is>
      </c>
    </row>
    <row r="16">
      <c r="A16" s="2" t="inlineStr">
        <is>
          <t>Activities</t>
        </is>
      </c>
      <c r="B16" s="2" t="inlineStr">
        <is>
          <t>Nymphenburg Palace</t>
        </is>
      </c>
      <c r="C16" s="2" t="inlineStr">
        <is>
          <t>€15/adult</t>
        </is>
      </c>
      <c r="D16" s="2" t="inlineStr">
        <is>
          <t>4</t>
        </is>
      </c>
      <c r="E16" s="3" t="n">
        <v>36</v>
      </c>
      <c r="F16" s="3" t="n">
        <v>50</v>
      </c>
      <c r="G16" s="3" t="n">
        <v>50</v>
      </c>
      <c r="H16" s="2" t="inlineStr">
        <is>
          <t>High</t>
        </is>
      </c>
      <c r="I16" s="2" t="inlineStr">
        <is>
          <t>Schloss Nymphenburg official; grounds free</t>
        </is>
      </c>
      <c r="J16" s="2" t="inlineStr">
        <is>
          <t>BA2-AC</t>
        </is>
      </c>
    </row>
    <row r="17">
      <c r="A17" s="4" t="inlineStr">
        <is>
          <t>Activities</t>
        </is>
      </c>
      <c r="B17" s="4" t="inlineStr">
        <is>
          <t>Königssee electric boat (round-trip to Salet)</t>
        </is>
      </c>
      <c r="C17" s="4" t="inlineStr">
        <is>
          <t>€22/adult; €11/youth (14yo)</t>
        </is>
      </c>
      <c r="D17" s="4" t="inlineStr">
        <is>
          <t>4</t>
        </is>
      </c>
      <c r="E17" s="5" t="n">
        <v>80</v>
      </c>
      <c r="F17" s="5" t="n">
        <v>92</v>
      </c>
      <c r="G17" s="5" t="n">
        <v>92</v>
      </c>
      <c r="H17" s="4" t="inlineStr">
        <is>
          <t>High</t>
        </is>
      </c>
      <c r="I17" s="4" t="inlineStr">
        <is>
          <t>Bayerische Seenschifffahrt official pricing</t>
        </is>
      </c>
      <c r="J17" s="4" t="inlineStr">
        <is>
          <t>BA-AC</t>
        </is>
      </c>
    </row>
    <row r="18">
      <c r="A18" s="2" t="inlineStr">
        <is>
          <t>Activities</t>
        </is>
      </c>
      <c r="B18" s="2" t="inlineStr">
        <is>
          <t>Eagle's Nest (Kehlstein bus + tunnel elevator)</t>
        </is>
      </c>
      <c r="C18" s="2" t="inlineStr">
        <is>
          <t>€36.10/adult; €21/youth</t>
        </is>
      </c>
      <c r="D18" s="2" t="inlineStr">
        <is>
          <t>4</t>
        </is>
      </c>
      <c r="E18" s="3" t="n">
        <v>110</v>
      </c>
      <c r="F18" s="3" t="n">
        <v>143</v>
      </c>
      <c r="G18" s="3" t="n">
        <v>143</v>
      </c>
      <c r="H18" s="2" t="inlineStr">
        <is>
          <t>High</t>
        </is>
      </c>
      <c r="I18" s="2" t="inlineStr">
        <is>
          <t>Official Kehlstein; credit card only at top; seasonal</t>
        </is>
      </c>
      <c r="J18" s="2" t="inlineStr">
        <is>
          <t>BA-AC</t>
        </is>
      </c>
    </row>
    <row r="19">
      <c r="A19" s="4" t="inlineStr">
        <is>
          <t>Activities</t>
        </is>
      </c>
      <c r="B19" s="4" t="inlineStr">
        <is>
          <t>Documentation Center Obersalzberg</t>
        </is>
      </c>
      <c r="C19" s="4" t="inlineStr">
        <is>
          <t>€6/adult</t>
        </is>
      </c>
      <c r="D19" s="4" t="inlineStr">
        <is>
          <t>4</t>
        </is>
      </c>
      <c r="E19" s="5" t="n">
        <v>28</v>
      </c>
      <c r="F19" s="5" t="n">
        <v>28</v>
      </c>
      <c r="G19" s="5" t="n">
        <v>28</v>
      </c>
      <c r="H19" s="4" t="inlineStr">
        <is>
          <t>High</t>
        </is>
      </c>
      <c r="I19" s="4" t="inlineStr">
        <is>
          <t>Official Berchtesgaden tourism</t>
        </is>
      </c>
      <c r="J19" s="4" t="inlineStr">
        <is>
          <t>BA-AC</t>
        </is>
      </c>
    </row>
    <row r="20">
      <c r="A20" s="2" t="inlineStr">
        <is>
          <t>Activities</t>
        </is>
      </c>
      <c r="B20" s="2" t="inlineStr">
        <is>
          <t>Berchtesgaden salt mine (core plan)</t>
        </is>
      </c>
      <c r="C20" s="2" t="inlineStr">
        <is>
          <t>€23/adult + youth est.</t>
        </is>
      </c>
      <c r="D20" s="2" t="inlineStr">
        <is>
          <t>4</t>
        </is>
      </c>
      <c r="E20" s="3" t="n">
        <v>90</v>
      </c>
      <c r="F20" s="3" t="n">
        <v>109</v>
      </c>
      <c r="G20" s="3" t="n">
        <v>109</v>
      </c>
      <c r="H20" s="2" t="inlineStr">
        <is>
          <t>Medium</t>
        </is>
      </c>
      <c r="I20" s="2" t="inlineStr">
        <is>
          <t>Salzbergwerk official site; now in core plan not optional</t>
        </is>
      </c>
      <c r="J20" s="2" t="inlineStr">
        <is>
          <t>BA-AC</t>
        </is>
      </c>
    </row>
    <row r="21">
      <c r="A21" s="4" t="inlineStr">
        <is>
          <t>Activities</t>
        </is>
      </c>
      <c r="B21" s="4" t="inlineStr">
        <is>
          <t>Hohensalzburg Fortress funicular</t>
        </is>
      </c>
      <c r="C21" s="4" t="inlineStr">
        <is>
          <t>€14.50/adult; €8.30/youth</t>
        </is>
      </c>
      <c r="D21" s="4" t="inlineStr">
        <is>
          <t>4</t>
        </is>
      </c>
      <c r="E21" s="5" t="n">
        <v>45</v>
      </c>
      <c r="F21" s="5" t="n">
        <v>63</v>
      </c>
      <c r="G21" s="5" t="n">
        <v>63</v>
      </c>
      <c r="H21" s="4" t="inlineStr">
        <is>
          <t>High</t>
        </is>
      </c>
      <c r="I21" s="4" t="inlineStr">
        <is>
          <t>Festung Salzburg official</t>
        </is>
      </c>
      <c r="J21" s="4" t="inlineStr">
        <is>
          <t>BA-AC</t>
        </is>
      </c>
    </row>
    <row r="22">
      <c r="A22" s="2" t="inlineStr">
        <is>
          <t>Activities</t>
        </is>
      </c>
      <c r="B22" s="2" t="inlineStr">
        <is>
          <t>Mozart's Birthplace</t>
        </is>
      </c>
      <c r="C22" s="2" t="inlineStr">
        <is>
          <t>€13.50/adult</t>
        </is>
      </c>
      <c r="D22" s="2" t="inlineStr">
        <is>
          <t>4</t>
        </is>
      </c>
      <c r="E22" s="3" t="n">
        <v>0</v>
      </c>
      <c r="F22" s="3" t="n">
        <v>64</v>
      </c>
      <c r="G22" s="3" t="n">
        <v>64</v>
      </c>
      <c r="H22" s="2" t="inlineStr">
        <is>
          <t>High</t>
        </is>
      </c>
      <c r="I22" s="2" t="inlineStr">
        <is>
          <t>Mozarteum Foundation</t>
        </is>
      </c>
      <c r="J22" s="2" t="inlineStr">
        <is>
          <t>BA-AC</t>
        </is>
      </c>
    </row>
    <row r="23">
      <c r="A23" s="4" t="inlineStr">
        <is>
          <t>Activities</t>
        </is>
      </c>
      <c r="B23" s="4" t="inlineStr">
        <is>
          <t>Hallstatt day trip (regional train + bus + salt mine museum entry)</t>
        </is>
      </c>
      <c r="C23" s="4" t="inlineStr">
        <is>
          <t>Estimate</t>
        </is>
      </c>
      <c r="D23" s="4" t="inlineStr">
        <is>
          <t>4</t>
        </is>
      </c>
      <c r="E23" s="5" t="n">
        <v>120</v>
      </c>
      <c r="F23" s="5" t="n">
        <v>180</v>
      </c>
      <c r="G23" s="5" t="n">
        <v>240</v>
      </c>
      <c r="H23" s="4" t="inlineStr">
        <is>
          <t>Medium</t>
        </is>
      </c>
      <c r="I23" s="4" t="inlineStr">
        <is>
          <t>Regional rail Salzburg–Hallstatt; Hallstatt Salzwelten ~€15/adult</t>
        </is>
      </c>
      <c r="J23" s="4" t="inlineStr">
        <is>
          <t>BA2-AC</t>
        </is>
      </c>
    </row>
    <row r="24">
      <c r="A24" s="2" t="inlineStr">
        <is>
          <t>Activities</t>
        </is>
      </c>
      <c r="B24" s="2" t="inlineStr">
        <is>
          <t>Misc (Olympic Park; village fees; incidentals)</t>
        </is>
      </c>
      <c r="C24" s="2" t="inlineStr">
        <is>
          <t>Estimate</t>
        </is>
      </c>
      <c r="D24" s="2" t="inlineStr">
        <is>
          <t>—</t>
        </is>
      </c>
      <c r="E24" s="3" t="n">
        <v>60</v>
      </c>
      <c r="F24" s="3" t="n">
        <v>100</v>
      </c>
      <c r="G24" s="3" t="n">
        <v>150</v>
      </c>
      <c r="H24" s="2" t="inlineStr">
        <is>
          <t>Low</t>
        </is>
      </c>
      <c r="I24" s="2" t="inlineStr">
        <is>
          <t>Estimate</t>
        </is>
      </c>
      <c r="J24" s="2" t="inlineStr">
        <is>
          <t>—</t>
        </is>
      </c>
    </row>
    <row r="25">
      <c r="A25" s="4" t="inlineStr">
        <is>
          <t>Food &amp; Dining</t>
        </is>
      </c>
      <c r="B25" s="4" t="inlineStr">
        <is>
          <t>9 ground days × 4 people</t>
        </is>
      </c>
      <c r="C25" s="4" t="inlineStr">
        <is>
          <t>$40/$65/$100 pp/day</t>
        </is>
      </c>
      <c r="D25" s="4" t="inlineStr">
        <is>
          <t>36 pp-days</t>
        </is>
      </c>
      <c r="E25" s="5" t="n">
        <v>1440</v>
      </c>
      <c r="F25" s="5" t="n">
        <v>2340</v>
      </c>
      <c r="G25" s="5" t="n">
        <v>3600</v>
      </c>
      <c r="H25" s="4" t="inlineStr">
        <is>
          <t>Medium</t>
        </is>
      </c>
      <c r="I25" s="4" t="inlineStr">
        <is>
          <t>Same food model as Option 1; bakeries + beer gardens</t>
        </is>
      </c>
      <c r="J25" s="4" t="inlineStr">
        <is>
          <t>BA-FD</t>
        </is>
      </c>
    </row>
    <row r="26">
      <c r="A26" s="2" t="inlineStr">
        <is>
          <t>Travel Insurance</t>
        </is>
      </c>
      <c r="B26" s="2" t="inlineStr">
        <is>
          <t>Trip protection</t>
        </is>
      </c>
      <c r="C26" s="2" t="inlineStr">
        <is>
          <t>$75/pp</t>
        </is>
      </c>
      <c r="D26" s="2" t="inlineStr">
        <is>
          <t>4</t>
        </is>
      </c>
      <c r="E26" s="3" t="n">
        <v>200</v>
      </c>
      <c r="F26" s="3" t="n">
        <v>300</v>
      </c>
      <c r="G26" s="3" t="n">
        <v>450</v>
      </c>
      <c r="H26" s="2" t="inlineStr">
        <is>
          <t>Medium</t>
        </is>
      </c>
      <c r="I26" s="2" t="inlineStr">
        <is>
          <t>Standard comprehensive policy</t>
        </is>
      </c>
      <c r="J26" s="2" t="inlineStr">
        <is>
          <t>—</t>
        </is>
      </c>
    </row>
    <row r="27">
      <c r="A27" s="6" t="inlineStr">
        <is>
          <t>TOTAL</t>
        </is>
      </c>
      <c r="B27" s="6" t="inlineStr"/>
      <c r="C27" s="6" t="inlineStr"/>
      <c r="D27" s="6" t="inlineStr"/>
      <c r="E27" s="7">
        <f>SUM(E2:E26)</f>
        <v/>
      </c>
      <c r="F27" s="7">
        <f>SUM(F2:F26)</f>
        <v/>
      </c>
      <c r="G27" s="7">
        <f>SUM(G2:G26)</f>
        <v/>
      </c>
      <c r="H27" s="6" t="inlineStr"/>
      <c r="I27" s="6" t="inlineStr"/>
      <c r="J27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52" customWidth="1" min="9" max="9"/>
    <col width="12" customWidth="1" min="10" max="10"/>
    <col width="14" customWidth="1" min="11" max="11"/>
  </cols>
  <sheetData>
    <row r="1" ht="36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 Cost</t>
        </is>
      </c>
      <c r="D1" s="1" t="inlineStr">
        <is>
          <t>Qty</t>
        </is>
      </c>
      <c r="E1" s="1" t="inlineStr">
        <is>
          <t>Low (USD)</t>
        </is>
      </c>
      <c r="F1" s="1" t="inlineStr">
        <is>
          <t>Mid (USD)</t>
        </is>
      </c>
      <c r="G1" s="1" t="inlineStr">
        <is>
          <t>High (USD)</t>
        </is>
      </c>
      <c r="H1" s="1" t="inlineStr">
        <is>
          <t>Confidence</t>
        </is>
      </c>
      <c r="I1" s="1" t="inlineStr">
        <is>
          <t>Basis</t>
        </is>
      </c>
      <c r="J1" s="1" t="inlineStr">
        <is>
          <t>Source IDs</t>
        </is>
      </c>
      <c r="K1" s="1" t="inlineStr">
        <is>
          <t>Applies To</t>
        </is>
      </c>
    </row>
    <row r="2">
      <c r="A2" s="2" t="inlineStr">
        <is>
          <t>Flights</t>
        </is>
      </c>
      <c r="B2" s="2" t="inlineStr">
        <is>
          <t>PHL→UVF round-trip economy × 4 (AA nonstop)</t>
        </is>
      </c>
      <c r="C2" s="2" t="inlineStr">
        <is>
          <t>$550–1,000/pp</t>
        </is>
      </c>
      <c r="D2" s="2" t="inlineStr">
        <is>
          <t>4</t>
        </is>
      </c>
      <c r="E2" s="3" t="n">
        <v>2200</v>
      </c>
      <c r="F2" s="3" t="n">
        <v>3000</v>
      </c>
      <c r="G2" s="3" t="n">
        <v>4000</v>
      </c>
      <c r="H2" s="2" t="inlineStr">
        <is>
          <t>Medium</t>
        </is>
      </c>
      <c r="I2" s="2" t="inlineStr">
        <is>
          <t>AA PHL–UVF weekly nonstop; DC airports add 1 stop + ~$100–150/pp</t>
        </is>
      </c>
      <c r="J2" s="2" t="inlineStr">
        <is>
          <t>SL-FL</t>
        </is>
      </c>
      <c r="K2" s="2" t="inlineStr">
        <is>
          <t>Both</t>
        </is>
      </c>
    </row>
    <row r="3">
      <c r="A3" s="4" t="inlineStr">
        <is>
          <t>Bags &amp; Seats</t>
        </is>
      </c>
      <c r="B3" s="4" t="inlineStr">
        <is>
          <t>Typical fees</t>
        </is>
      </c>
      <c r="C3" s="4" t="inlineStr">
        <is>
          <t>$60/pp RT</t>
        </is>
      </c>
      <c r="D3" s="4" t="inlineStr">
        <is>
          <t>4</t>
        </is>
      </c>
      <c r="E3" s="5" t="n">
        <v>100</v>
      </c>
      <c r="F3" s="5" t="n">
        <v>240</v>
      </c>
      <c r="G3" s="5" t="n">
        <v>400</v>
      </c>
      <c r="H3" s="4" t="inlineStr">
        <is>
          <t>Low</t>
        </is>
      </c>
      <c r="I3" s="4" t="inlineStr">
        <is>
          <t>AA nonstop is shorter; fewer fees than connecting</t>
        </is>
      </c>
      <c r="J3" s="4" t="inlineStr">
        <is>
          <t>SL-FL</t>
        </is>
      </c>
      <c r="K3" s="4" t="inlineStr">
        <is>
          <t>Both</t>
        </is>
      </c>
    </row>
    <row r="4">
      <c r="A4" s="2" t="inlineStr">
        <is>
          <t>Lodging (A)</t>
        </is>
      </c>
      <c r="B4" s="2" t="inlineStr">
        <is>
          <t>Coconut Bay Splash wing — all-inclusive, 10 nights</t>
        </is>
      </c>
      <c r="C4" s="2" t="inlineStr">
        <is>
          <t>$650–950/night</t>
        </is>
      </c>
      <c r="D4" s="2" t="inlineStr">
        <is>
          <t>10 nights</t>
        </is>
      </c>
      <c r="E4" s="3" t="n">
        <v>6500</v>
      </c>
      <c r="F4" s="3" t="n">
        <v>7800</v>
      </c>
      <c r="G4" s="3" t="n">
        <v>9500</v>
      </c>
      <c r="H4" s="2" t="inlineStr">
        <is>
          <t>Medium</t>
        </is>
      </c>
      <c r="I4" s="2" t="inlineStr">
        <is>
          <t>cbayresort.com; 2026 rates TBC; estimate based on historical July AI pricing</t>
        </is>
      </c>
      <c r="J4" s="2" t="inlineStr">
        <is>
          <t>SL-LO</t>
        </is>
      </c>
      <c r="K4" s="2" t="inlineStr">
        <is>
          <t>Option A only</t>
        </is>
      </c>
    </row>
    <row r="5">
      <c r="A5" s="4" t="inlineStr">
        <is>
          <t>Lodging (B)</t>
        </is>
      </c>
      <c r="B5" s="4" t="inlineStr">
        <is>
          <t>Soufrière villa 2BR with kitchen — 6 nights</t>
        </is>
      </c>
      <c r="C5" s="4" t="inlineStr">
        <is>
          <t>$300–450/night</t>
        </is>
      </c>
      <c r="D5" s="4" t="inlineStr">
        <is>
          <t>6 nights</t>
        </is>
      </c>
      <c r="E5" s="5" t="n">
        <v>1800</v>
      </c>
      <c r="F5" s="5" t="n">
        <v>2280</v>
      </c>
      <c r="G5" s="5" t="n">
        <v>2700</v>
      </c>
      <c r="H5" s="4" t="inlineStr">
        <is>
          <t>Medium</t>
        </is>
      </c>
      <c r="I5" s="4" t="inlineStr">
        <is>
          <t>Stonefield Villa Resort / Fond Doux / private rental (Airbnb/VRBO)</t>
        </is>
      </c>
      <c r="J5" s="4" t="inlineStr">
        <is>
          <t>SL-LO</t>
        </is>
      </c>
      <c r="K5" s="4" t="inlineStr">
        <is>
          <t>Option B only</t>
        </is>
      </c>
    </row>
    <row r="6">
      <c r="A6" s="2" t="inlineStr">
        <is>
          <t>Lodging (B)</t>
        </is>
      </c>
      <c r="B6" s="2" t="inlineStr">
        <is>
          <t>Bay Gardens Beach Resort, Rodney Bay — 4 nights</t>
        </is>
      </c>
      <c r="C6" s="2" t="inlineStr">
        <is>
          <t>$250–380/night</t>
        </is>
      </c>
      <c r="D6" s="2" t="inlineStr">
        <is>
          <t>4 nights</t>
        </is>
      </c>
      <c r="E6" s="3" t="n">
        <v>1000</v>
      </c>
      <c r="F6" s="3" t="n">
        <v>1160</v>
      </c>
      <c r="G6" s="3" t="n">
        <v>1520</v>
      </c>
      <c r="H6" s="2" t="inlineStr">
        <is>
          <t>Medium</t>
        </is>
      </c>
      <c r="I6" s="2" t="inlineStr">
        <is>
          <t>Bay Gardens direct booking</t>
        </is>
      </c>
      <c r="J6" s="2" t="inlineStr">
        <is>
          <t>SL-LO</t>
        </is>
      </c>
      <c r="K6" s="2" t="inlineStr">
        <is>
          <t>Option B only</t>
        </is>
      </c>
    </row>
    <row r="7">
      <c r="A7" s="4" t="inlineStr">
        <is>
          <t>Transfers (A)</t>
        </is>
      </c>
      <c r="B7" s="4" t="inlineStr">
        <is>
          <t>UVF → Coconut Bay (free resort shuttle)</t>
        </is>
      </c>
      <c r="C7" s="4" t="inlineStr">
        <is>
          <t>$0</t>
        </is>
      </c>
      <c r="D7" s="4" t="inlineStr">
        <is>
          <t>—</t>
        </is>
      </c>
      <c r="E7" s="5" t="n">
        <v>0</v>
      </c>
      <c r="F7" s="5" t="n">
        <v>0</v>
      </c>
      <c r="G7" s="5" t="n">
        <v>0</v>
      </c>
      <c r="H7" s="4" t="inlineStr">
        <is>
          <t>High</t>
        </is>
      </c>
      <c r="I7" s="4" t="inlineStr">
        <is>
          <t>Coconut Bay direct confirmation</t>
        </is>
      </c>
      <c r="J7" s="4" t="inlineStr">
        <is>
          <t>SL-TR</t>
        </is>
      </c>
      <c r="K7" s="4" t="inlineStr">
        <is>
          <t>Option A only</t>
        </is>
      </c>
    </row>
    <row r="8">
      <c r="A8" s="2" t="inlineStr">
        <is>
          <t>Transfers (A)</t>
        </is>
      </c>
      <c r="B8" s="2" t="inlineStr">
        <is>
          <t>Excursion day taxis (not resort-included)</t>
        </is>
      </c>
      <c r="C8" s="2" t="inlineStr">
        <is>
          <t>Estimate</t>
        </is>
      </c>
      <c r="D8" s="2" t="inlineStr">
        <is>
          <t>—</t>
        </is>
      </c>
      <c r="E8" s="3" t="n">
        <v>0</v>
      </c>
      <c r="F8" s="3" t="n">
        <v>120</v>
      </c>
      <c r="G8" s="3" t="n">
        <v>200</v>
      </c>
      <c r="H8" s="2" t="inlineStr">
        <is>
          <t>Low</t>
        </is>
      </c>
      <c r="I8" s="2" t="inlineStr">
        <is>
          <t>Distance from Vieux Fort adds cost</t>
        </is>
      </c>
      <c r="J8" s="2" t="inlineStr">
        <is>
          <t>SL-TR</t>
        </is>
      </c>
      <c r="K8" s="2" t="inlineStr">
        <is>
          <t>Option A only</t>
        </is>
      </c>
    </row>
    <row r="9">
      <c r="A9" s="4" t="inlineStr">
        <is>
          <t>Transfers (B)</t>
        </is>
      </c>
      <c r="B9" s="4" t="inlineStr">
        <is>
          <t>UVF → Soufrière (private taxi for 4)</t>
        </is>
      </c>
      <c r="C9" s="4" t="inlineStr">
        <is>
          <t>$90–100</t>
        </is>
      </c>
      <c r="D9" s="4" t="inlineStr">
        <is>
          <t>1</t>
        </is>
      </c>
      <c r="E9" s="5" t="n">
        <v>90</v>
      </c>
      <c r="F9" s="5" t="n">
        <v>95</v>
      </c>
      <c r="G9" s="5" t="n">
        <v>110</v>
      </c>
      <c r="H9" s="4" t="inlineStr">
        <is>
          <t>High</t>
        </is>
      </c>
      <c r="I9" s="4" t="inlineStr">
        <is>
          <t>Representative local operator pricing</t>
        </is>
      </c>
      <c r="J9" s="4" t="inlineStr">
        <is>
          <t>SL-TR</t>
        </is>
      </c>
      <c r="K9" s="4" t="inlineStr">
        <is>
          <t>Option B only</t>
        </is>
      </c>
    </row>
    <row r="10">
      <c r="A10" s="2" t="inlineStr">
        <is>
          <t>Transfers (B)</t>
        </is>
      </c>
      <c r="B10" s="2" t="inlineStr">
        <is>
          <t>Soufrière → Rodney Bay (taxi or water taxi)</t>
        </is>
      </c>
      <c r="C10" s="2" t="inlineStr">
        <is>
          <t>$100–180</t>
        </is>
      </c>
      <c r="D10" s="2" t="inlineStr">
        <is>
          <t>1</t>
        </is>
      </c>
      <c r="E10" s="3" t="n">
        <v>100</v>
      </c>
      <c r="F10" s="3" t="n">
        <v>130</v>
      </c>
      <c r="G10" s="3" t="n">
        <v>180</v>
      </c>
      <c r="H10" s="2" t="inlineStr">
        <is>
          <t>Medium</t>
        </is>
      </c>
      <c r="I10" s="2" t="inlineStr">
        <is>
          <t>Water taxi is scenic upgrade; road taxi is practical</t>
        </is>
      </c>
      <c r="J10" s="2" t="inlineStr">
        <is>
          <t>SL-TR</t>
        </is>
      </c>
      <c r="K10" s="2" t="inlineStr">
        <is>
          <t>Option B only</t>
        </is>
      </c>
    </row>
    <row r="11">
      <c r="A11" s="4" t="inlineStr">
        <is>
          <t>Transfers (B)</t>
        </is>
      </c>
      <c r="B11" s="4" t="inlineStr">
        <is>
          <t>Rodney Bay → UVF (departure)</t>
        </is>
      </c>
      <c r="C11" s="4" t="inlineStr">
        <is>
          <t>$100–130</t>
        </is>
      </c>
      <c r="D11" s="4" t="inlineStr">
        <is>
          <t>1</t>
        </is>
      </c>
      <c r="E11" s="5" t="n">
        <v>100</v>
      </c>
      <c r="F11" s="5" t="n">
        <v>115</v>
      </c>
      <c r="G11" s="5" t="n">
        <v>130</v>
      </c>
      <c r="H11" s="4" t="inlineStr">
        <is>
          <t>High</t>
        </is>
      </c>
      <c r="I11" s="4" t="inlineStr">
        <is>
          <t>Representative local operator pricing</t>
        </is>
      </c>
      <c r="J11" s="4" t="inlineStr">
        <is>
          <t>SL-TR</t>
        </is>
      </c>
      <c r="K11" s="4" t="inlineStr">
        <is>
          <t>Option B only</t>
        </is>
      </c>
    </row>
    <row r="12">
      <c r="A12" s="2" t="inlineStr">
        <is>
          <t>Transfers (B)</t>
        </is>
      </c>
      <c r="B12" s="2" t="inlineStr">
        <is>
          <t>Local taxis throughout trip</t>
        </is>
      </c>
      <c r="C12" s="2" t="inlineStr">
        <is>
          <t>Estimate</t>
        </is>
      </c>
      <c r="D12" s="2" t="inlineStr">
        <is>
          <t>—</t>
        </is>
      </c>
      <c r="E12" s="3" t="n">
        <v>200</v>
      </c>
      <c r="F12" s="3" t="n">
        <v>300</v>
      </c>
      <c r="G12" s="3" t="n">
        <v>450</v>
      </c>
      <c r="H12" s="2" t="inlineStr">
        <is>
          <t>Low</t>
        </is>
      </c>
      <c r="I12" s="2" t="inlineStr">
        <is>
          <t>Island roads require taxis; no public transit grid</t>
        </is>
      </c>
      <c r="J12" s="2" t="inlineStr">
        <is>
          <t>SL-TR</t>
        </is>
      </c>
      <c r="K12" s="2" t="inlineStr">
        <is>
          <t>Option B only</t>
        </is>
      </c>
    </row>
    <row r="13">
      <c r="A13" s="4" t="inlineStr">
        <is>
          <t>Activities</t>
        </is>
      </c>
      <c r="B13" s="4" t="inlineStr">
        <is>
          <t>Gros Piton hike (trail fee + mandatory guide)</t>
        </is>
      </c>
      <c r="C13" s="4" t="inlineStr">
        <is>
          <t>$50/pp</t>
        </is>
      </c>
      <c r="D13" s="4" t="inlineStr">
        <is>
          <t>4</t>
        </is>
      </c>
      <c r="E13" s="5" t="n">
        <v>200</v>
      </c>
      <c r="F13" s="5" t="n">
        <v>215</v>
      </c>
      <c r="G13" s="5" t="n">
        <v>240</v>
      </c>
      <c r="H13" s="4" t="inlineStr">
        <is>
          <t>High</t>
        </is>
      </c>
      <c r="I13" s="4" t="inlineStr">
        <is>
          <t>St. Lucia National Trust; guide required by law</t>
        </is>
      </c>
      <c r="J13" s="4" t="inlineStr">
        <is>
          <t>SL-AC</t>
        </is>
      </c>
      <c r="K13" s="4" t="inlineStr">
        <is>
          <t>Both</t>
        </is>
      </c>
    </row>
    <row r="14">
      <c r="A14" s="2" t="inlineStr">
        <is>
          <t>Activities</t>
        </is>
      </c>
      <c r="B14" s="2" t="inlineStr">
        <is>
          <t>Soufrière highlights (Sulphur Springs + Toraille + Diamond)</t>
        </is>
      </c>
      <c r="C14" s="2" t="inlineStr">
        <is>
          <t>$90–110/pp</t>
        </is>
      </c>
      <c r="D14" s="2" t="inlineStr">
        <is>
          <t>4</t>
        </is>
      </c>
      <c r="E14" s="3" t="n">
        <v>280</v>
      </c>
      <c r="F14" s="3" t="n">
        <v>400</v>
      </c>
      <c r="G14" s="3" t="n">
        <v>560</v>
      </c>
      <c r="H14" s="2" t="inlineStr">
        <is>
          <t>Medium</t>
        </is>
      </c>
      <c r="I14" s="2" t="inlineStr">
        <is>
          <t>Direct operator and St. Lucia tourism authority pricing</t>
        </is>
      </c>
      <c r="J14" s="2" t="inlineStr">
        <is>
          <t>SL-AC</t>
        </is>
      </c>
      <c r="K14" s="2" t="inlineStr">
        <is>
          <t>Both</t>
        </is>
      </c>
    </row>
    <row r="15">
      <c r="A15" s="4" t="inlineStr">
        <is>
          <t>Activities</t>
        </is>
      </c>
      <c r="B15" s="4" t="inlineStr">
        <is>
          <t>Catamaran full-day cruise (Sea Spray Tout Bagay or equiv.)</t>
        </is>
      </c>
      <c r="C15" s="4" t="inlineStr">
        <is>
          <t>$140/adult; $80/child</t>
        </is>
      </c>
      <c r="D15" s="4" t="inlineStr">
        <is>
          <t>4</t>
        </is>
      </c>
      <c r="E15" s="5" t="n">
        <v>360</v>
      </c>
      <c r="F15" s="5" t="n">
        <v>440</v>
      </c>
      <c r="G15" s="5" t="n">
        <v>560</v>
      </c>
      <c r="H15" s="4" t="inlineStr">
        <is>
          <t>Medium</t>
        </is>
      </c>
      <c r="I15" s="4" t="inlineStr">
        <is>
          <t>Sea Spray Cruises direct pricing</t>
        </is>
      </c>
      <c r="J15" s="4" t="inlineStr">
        <is>
          <t>SL-AC</t>
        </is>
      </c>
      <c r="K15" s="4" t="inlineStr">
        <is>
          <t>Both</t>
        </is>
      </c>
    </row>
    <row r="16">
      <c r="A16" s="2" t="inlineStr">
        <is>
          <t>Activities</t>
        </is>
      </c>
      <c r="B16" s="2" t="inlineStr">
        <is>
          <t>Rainforest zip-line (Rainforest Adventures or Morne Coubaril)</t>
        </is>
      </c>
      <c r="C16" s="2" t="inlineStr">
        <is>
          <t>$75–95/pp</t>
        </is>
      </c>
      <c r="D16" s="2" t="inlineStr">
        <is>
          <t>4</t>
        </is>
      </c>
      <c r="E16" s="3" t="n">
        <v>280</v>
      </c>
      <c r="F16" s="3" t="n">
        <v>360</v>
      </c>
      <c r="G16" s="3" t="n">
        <v>480</v>
      </c>
      <c r="H16" s="2" t="inlineStr">
        <is>
          <t>Medium</t>
        </is>
      </c>
      <c r="I16" s="2" t="inlineStr">
        <is>
          <t>Operator pricing; min age 8; max 290 lbs</t>
        </is>
      </c>
      <c r="J16" s="2" t="inlineStr">
        <is>
          <t>SL-AC</t>
        </is>
      </c>
      <c r="K16" s="2" t="inlineStr">
        <is>
          <t>Both</t>
        </is>
      </c>
    </row>
    <row r="17">
      <c r="A17" s="4" t="inlineStr">
        <is>
          <t>Activities</t>
        </is>
      </c>
      <c r="B17" s="4" t="inlineStr">
        <is>
          <t>Tet Paul Nature Trail</t>
        </is>
      </c>
      <c r="C17" s="4" t="inlineStr">
        <is>
          <t>$10/pp</t>
        </is>
      </c>
      <c r="D17" s="4" t="inlineStr">
        <is>
          <t>4</t>
        </is>
      </c>
      <c r="E17" s="5" t="n">
        <v>40</v>
      </c>
      <c r="F17" s="5" t="n">
        <v>40</v>
      </c>
      <c r="G17" s="5" t="n">
        <v>40</v>
      </c>
      <c r="H17" s="4" t="inlineStr">
        <is>
          <t>High</t>
        </is>
      </c>
      <c r="I17" s="4" t="inlineStr">
        <is>
          <t>Tet Paul official site</t>
        </is>
      </c>
      <c r="J17" s="4" t="inlineStr">
        <is>
          <t>SL-AC</t>
        </is>
      </c>
      <c r="K17" s="4" t="inlineStr">
        <is>
          <t>Both</t>
        </is>
      </c>
    </row>
    <row r="18">
      <c r="A18" s="2" t="inlineStr">
        <is>
          <t>Activities</t>
        </is>
      </c>
      <c r="B18" s="2" t="inlineStr">
        <is>
          <t>Pigeon Island National Park</t>
        </is>
      </c>
      <c r="C18" s="2" t="inlineStr">
        <is>
          <t>$11/pp</t>
        </is>
      </c>
      <c r="D18" s="2" t="inlineStr">
        <is>
          <t>4</t>
        </is>
      </c>
      <c r="E18" s="3" t="n">
        <v>0</v>
      </c>
      <c r="F18" s="3" t="n">
        <v>44</v>
      </c>
      <c r="G18" s="3" t="n">
        <v>44</v>
      </c>
      <c r="H18" s="2" t="inlineStr">
        <is>
          <t>High</t>
        </is>
      </c>
      <c r="I18" s="2" t="inlineStr">
        <is>
          <t>St. Lucia National Trust</t>
        </is>
      </c>
      <c r="J18" s="2" t="inlineStr">
        <is>
          <t>SL-AC</t>
        </is>
      </c>
      <c r="K18" s="2" t="inlineStr">
        <is>
          <t>Both</t>
        </is>
      </c>
    </row>
    <row r="19">
      <c r="A19" s="4" t="inlineStr">
        <is>
          <t>Activities</t>
        </is>
      </c>
      <c r="B19" s="4" t="inlineStr">
        <is>
          <t>Anse La Raye Fish Fry transport</t>
        </is>
      </c>
      <c r="C19" s="4" t="inlineStr">
        <is>
          <t>$30–40/trip</t>
        </is>
      </c>
      <c r="D19" s="4" t="inlineStr">
        <is>
          <t>2 trips</t>
        </is>
      </c>
      <c r="E19" s="5" t="n">
        <v>0</v>
      </c>
      <c r="F19" s="5" t="n">
        <v>70</v>
      </c>
      <c r="G19" s="5" t="n">
        <v>90</v>
      </c>
      <c r="H19" s="4" t="inlineStr">
        <is>
          <t>Low</t>
        </is>
      </c>
      <c r="I19" s="4" t="inlineStr">
        <is>
          <t>Driver estimate</t>
        </is>
      </c>
      <c r="J19" s="4" t="inlineStr">
        <is>
          <t>SL-TR</t>
        </is>
      </c>
      <c r="K19" s="4" t="inlineStr">
        <is>
          <t>Both</t>
        </is>
      </c>
    </row>
    <row r="20">
      <c r="A20" s="2" t="inlineStr">
        <is>
          <t>Activities (opt.)</t>
        </is>
      </c>
      <c r="B20" s="2" t="inlineStr">
        <is>
          <t>Hotel Chocolat / Boucan estate tour</t>
        </is>
      </c>
      <c r="C20" s="2" t="inlineStr">
        <is>
          <t>$95/pp</t>
        </is>
      </c>
      <c r="D20" s="2" t="inlineStr">
        <is>
          <t>4</t>
        </is>
      </c>
      <c r="E20" s="3" t="n">
        <v>0</v>
      </c>
      <c r="F20" s="3" t="n">
        <v>0</v>
      </c>
      <c r="G20" s="3" t="n">
        <v>380</v>
      </c>
      <c r="H20" s="2" t="inlineStr">
        <is>
          <t>Low</t>
        </is>
      </c>
      <c r="I20" s="2" t="inlineStr">
        <is>
          <t>Hotel Chocolat direct</t>
        </is>
      </c>
      <c r="J20" s="2" t="inlineStr">
        <is>
          <t>SL-AC</t>
        </is>
      </c>
      <c r="K20" s="2" t="inlineStr">
        <is>
          <t>Both</t>
        </is>
      </c>
    </row>
    <row r="21">
      <c r="A21" s="4" t="inlineStr">
        <is>
          <t>Activities (opt.)</t>
        </is>
      </c>
      <c r="B21" s="4" t="inlineStr">
        <is>
          <t>Anse Chastanet snorkel transfer</t>
        </is>
      </c>
      <c r="C21" s="4" t="inlineStr">
        <is>
          <t>$40/pp</t>
        </is>
      </c>
      <c r="D21" s="4" t="inlineStr">
        <is>
          <t>4</t>
        </is>
      </c>
      <c r="E21" s="5" t="n">
        <v>0</v>
      </c>
      <c r="F21" s="5" t="n">
        <v>0</v>
      </c>
      <c r="G21" s="5" t="n">
        <v>160</v>
      </c>
      <c r="H21" s="4" t="inlineStr">
        <is>
          <t>Low</t>
        </is>
      </c>
      <c r="I21" s="4" t="inlineStr">
        <is>
          <t>Optional upgrade</t>
        </is>
      </c>
      <c r="J21" s="4" t="inlineStr">
        <is>
          <t>SL-AC</t>
        </is>
      </c>
      <c r="K21" s="4" t="inlineStr">
        <is>
          <t>Both</t>
        </is>
      </c>
    </row>
    <row r="22">
      <c r="A22" s="2" t="inlineStr">
        <is>
          <t>Food (A)</t>
        </is>
      </c>
      <c r="B22" s="2" t="inlineStr">
        <is>
          <t>Off-resort meals at all-inclusive (2–3 outings)</t>
        </is>
      </c>
      <c r="C22" s="2" t="inlineStr">
        <is>
          <t>$60/meal × family</t>
        </is>
      </c>
      <c r="D22" s="2" t="inlineStr">
        <is>
          <t>3 meals</t>
        </is>
      </c>
      <c r="E22" s="3" t="n">
        <v>150</v>
      </c>
      <c r="F22" s="3" t="n">
        <v>300</v>
      </c>
      <c r="G22" s="3" t="n">
        <v>600</v>
      </c>
      <c r="H22" s="2" t="inlineStr">
        <is>
          <t>Low</t>
        </is>
      </c>
      <c r="I22" s="2" t="inlineStr">
        <is>
          <t>Most meals included at AI resort</t>
        </is>
      </c>
      <c r="J22" s="2" t="inlineStr">
        <is>
          <t>SL-FD</t>
        </is>
      </c>
      <c r="K22" s="2" t="inlineStr">
        <is>
          <t>Option A only</t>
        </is>
      </c>
    </row>
    <row r="23">
      <c r="A23" s="4" t="inlineStr">
        <is>
          <t>Food (B)</t>
        </is>
      </c>
      <c r="B23" s="4" t="inlineStr">
        <is>
          <t>10 days × 4 people</t>
        </is>
      </c>
      <c r="C23" s="4" t="inlineStr">
        <is>
          <t>$50/$75/$110 pp/day</t>
        </is>
      </c>
      <c r="D23" s="4" t="inlineStr">
        <is>
          <t>40 pp-days</t>
        </is>
      </c>
      <c r="E23" s="5" t="n">
        <v>2000</v>
      </c>
      <c r="F23" s="5" t="n">
        <v>3000</v>
      </c>
      <c r="G23" s="5" t="n">
        <v>4400</v>
      </c>
      <c r="H23" s="4" t="inlineStr">
        <is>
          <t>Medium</t>
        </is>
      </c>
      <c r="I23" s="4" t="inlineStr">
        <is>
          <t>Cook breakfast in villa; local lunches $10–15/pp; dinners $30–50/pp</t>
        </is>
      </c>
      <c r="J23" s="4" t="inlineStr">
        <is>
          <t>SL-FD</t>
        </is>
      </c>
      <c r="K23" s="4" t="inlineStr">
        <is>
          <t>Option B only</t>
        </is>
      </c>
    </row>
    <row r="24">
      <c r="A24" s="2" t="inlineStr">
        <is>
          <t>Tips &amp; Misc</t>
        </is>
      </c>
      <c r="B24" s="2" t="inlineStr">
        <is>
          <t>Guides, resort tips, incidentals</t>
        </is>
      </c>
      <c r="C24" s="2" t="inlineStr">
        <is>
          <t>Estimate</t>
        </is>
      </c>
      <c r="D24" s="2" t="inlineStr">
        <is>
          <t>—</t>
        </is>
      </c>
      <c r="E24" s="3" t="n">
        <v>100</v>
      </c>
      <c r="F24" s="3" t="n">
        <v>200</v>
      </c>
      <c r="G24" s="3" t="n">
        <v>350</v>
      </c>
      <c r="H24" s="2" t="inlineStr">
        <is>
          <t>Low</t>
        </is>
      </c>
      <c r="I24" s="2" t="inlineStr">
        <is>
          <t>Estimate</t>
        </is>
      </c>
      <c r="J24" s="2" t="inlineStr">
        <is>
          <t>—</t>
        </is>
      </c>
      <c r="K24" s="2" t="inlineStr">
        <is>
          <t>Both</t>
        </is>
      </c>
    </row>
    <row r="25">
      <c r="A25" s="4" t="inlineStr">
        <is>
          <t>Travel Insurance</t>
        </is>
      </c>
      <c r="B25" s="4" t="inlineStr">
        <is>
          <t>Hurricane/CFAR policy (strongly recommended for July)</t>
        </is>
      </c>
      <c r="C25" s="4" t="inlineStr">
        <is>
          <t>$100/pp</t>
        </is>
      </c>
      <c r="D25" s="4" t="inlineStr">
        <is>
          <t>4</t>
        </is>
      </c>
      <c r="E25" s="5" t="n">
        <v>300</v>
      </c>
      <c r="F25" s="5" t="n">
        <v>450</v>
      </c>
      <c r="G25" s="5" t="n">
        <v>600</v>
      </c>
      <c r="H25" s="4" t="inlineStr">
        <is>
          <t>Medium</t>
        </is>
      </c>
      <c r="I25" s="4" t="inlineStr">
        <is>
          <t>July = hurricane season; St. Lucia Holiday Guarantee also available</t>
        </is>
      </c>
      <c r="J25" s="4" t="inlineStr">
        <is>
          <t>—</t>
        </is>
      </c>
      <c r="K25" s="4" t="inlineStr">
        <is>
          <t>Both</t>
        </is>
      </c>
    </row>
    <row r="26">
      <c r="A26" s="6" t="inlineStr">
        <is>
          <t>TOTAL — Option A (Coconut Bay All-Inclusive)</t>
        </is>
      </c>
      <c r="B26" s="6" t="inlineStr"/>
      <c r="C26" s="6" t="inlineStr"/>
      <c r="D26" s="6" t="inlineStr"/>
      <c r="E26" s="7">
        <f>SUMIF($K$2:$K$25,"Both",E2:E25)+SUMIF($K$2:$K$25,"Option A only",E2:E25)</f>
        <v/>
      </c>
      <c r="F26" s="7">
        <f>SUMIF($K$2:$K$25,"Both",F2:F25)+SUMIF($K$2:$K$25,"Option A only",F2:F25)</f>
        <v/>
      </c>
      <c r="G26" s="7">
        <f>SUMIF($K$2:$K$25,"Both",G2:G25)+SUMIF($K$2:$K$25,"Option A only",G2:G25)</f>
        <v/>
      </c>
      <c r="H26" s="6" t="inlineStr"/>
      <c r="I26" s="6" t="inlineStr"/>
      <c r="J26" s="6" t="inlineStr"/>
      <c r="K26" s="6" t="inlineStr">
        <is>
          <t>A</t>
        </is>
      </c>
    </row>
    <row r="27">
      <c r="A27" s="6" t="inlineStr">
        <is>
          <t>TOTAL — Option B (Villa + Bay Gardens)</t>
        </is>
      </c>
      <c r="B27" s="6" t="inlineStr"/>
      <c r="C27" s="6" t="inlineStr"/>
      <c r="D27" s="6" t="inlineStr"/>
      <c r="E27" s="7">
        <f>SUMIF($K$2:$K$25,"Both",E2:E25)+SUMIF($K$2:$K$25,"Option B only",E2:E25)</f>
        <v/>
      </c>
      <c r="F27" s="7">
        <f>SUMIF($K$2:$K$25,"Both",F2:F25)+SUMIF($K$2:$K$25,"Option B only",F2:F25)</f>
        <v/>
      </c>
      <c r="G27" s="7">
        <f>SUMIF($K$2:$K$25,"Both",G2:G25)+SUMIF($K$2:$K$25,"Option B only",G2:G25)</f>
        <v/>
      </c>
      <c r="H27" s="6" t="inlineStr"/>
      <c r="I27" s="6" t="inlineStr"/>
      <c r="J27" s="6" t="inlineStr"/>
      <c r="K27" s="6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52" customWidth="1" min="9" max="9"/>
    <col width="12" customWidth="1" min="10" max="10"/>
  </cols>
  <sheetData>
    <row r="1" ht="36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 Cost</t>
        </is>
      </c>
      <c r="D1" s="1" t="inlineStr">
        <is>
          <t>Qty</t>
        </is>
      </c>
      <c r="E1" s="1" t="inlineStr">
        <is>
          <t>Low (USD)</t>
        </is>
      </c>
      <c r="F1" s="1" t="inlineStr">
        <is>
          <t>Mid (USD)</t>
        </is>
      </c>
      <c r="G1" s="1" t="inlineStr">
        <is>
          <t>High (USD)</t>
        </is>
      </c>
      <c r="H1" s="1" t="inlineStr">
        <is>
          <t>Confidence</t>
        </is>
      </c>
      <c r="I1" s="1" t="inlineStr">
        <is>
          <t>Basis</t>
        </is>
      </c>
      <c r="J1" s="1" t="inlineStr">
        <is>
          <t>Source IDs</t>
        </is>
      </c>
    </row>
    <row r="2">
      <c r="A2" s="2" t="inlineStr">
        <is>
          <t>Flights</t>
        </is>
      </c>
      <c r="B2" s="2" t="inlineStr">
        <is>
          <t>IAD→ATH round-trip economy × 4</t>
        </is>
      </c>
      <c r="C2" s="2" t="inlineStr">
        <is>
          <t>$1,000–1,600/pp</t>
        </is>
      </c>
      <c r="D2" s="2" t="inlineStr">
        <is>
          <t>4</t>
        </is>
      </c>
      <c r="E2" s="3" t="n">
        <v>4000</v>
      </c>
      <c r="F2" s="3" t="n">
        <v>5200</v>
      </c>
      <c r="G2" s="3" t="n">
        <v>6400</v>
      </c>
      <c r="H2" s="2" t="inlineStr">
        <is>
          <t>Medium</t>
        </is>
      </c>
      <c r="I2" s="2" t="inlineStr">
        <is>
          <t>Live IAD–ATH searches May 2026; Aegean/United/Lufthansa range</t>
        </is>
      </c>
      <c r="J2" s="2" t="inlineStr">
        <is>
          <t>GR-FL</t>
        </is>
      </c>
    </row>
    <row r="3">
      <c r="A3" s="4" t="inlineStr">
        <is>
          <t>Bags &amp; Seats</t>
        </is>
      </c>
      <c r="B3" s="4" t="inlineStr">
        <is>
          <t>Economy bags + seat selection</t>
        </is>
      </c>
      <c r="C3" s="4" t="inlineStr">
        <is>
          <t>$50–140/pp RT</t>
        </is>
      </c>
      <c r="D3" s="4" t="inlineStr">
        <is>
          <t>4</t>
        </is>
      </c>
      <c r="E3" s="5" t="n">
        <v>200</v>
      </c>
      <c r="F3" s="5" t="n">
        <v>360</v>
      </c>
      <c r="G3" s="5" t="n">
        <v>560</v>
      </c>
      <c r="H3" s="4" t="inlineStr">
        <is>
          <t>Low</t>
        </is>
      </c>
      <c r="I3" s="4" t="inlineStr">
        <is>
          <t>Carrier-dependent; assume 1 checked bag/pp</t>
        </is>
      </c>
      <c r="J3" s="4" t="inlineStr">
        <is>
          <t>GR-FL</t>
        </is>
      </c>
    </row>
    <row r="4">
      <c r="A4" s="2" t="inlineStr">
        <is>
          <t>Domestic Flight</t>
        </is>
      </c>
      <c r="B4" s="2" t="inlineStr">
        <is>
          <t>Athens → Chania (ATH→CHQ; Aegean Airlines)</t>
        </is>
      </c>
      <c r="C4" s="2" t="inlineStr">
        <is>
          <t>$70–120/pp</t>
        </is>
      </c>
      <c r="D4" s="2" t="inlineStr">
        <is>
          <t>4</t>
        </is>
      </c>
      <c r="E4" s="3" t="n">
        <v>280</v>
      </c>
      <c r="F4" s="3" t="n">
        <v>380</v>
      </c>
      <c r="G4" s="3" t="n">
        <v>480</v>
      </c>
      <c r="H4" s="2" t="inlineStr">
        <is>
          <t>High</t>
        </is>
      </c>
      <c r="I4" s="2" t="inlineStr">
        <is>
          <t>Aegean Airlines; book 2–3 months ahead</t>
        </is>
      </c>
      <c r="J4" s="2" t="inlineStr">
        <is>
          <t>GR2-DO</t>
        </is>
      </c>
    </row>
    <row r="5">
      <c r="A5" s="4" t="inlineStr">
        <is>
          <t>Domestic Flight</t>
        </is>
      </c>
      <c r="B5" s="4" t="inlineStr">
        <is>
          <t>Heraklion → Athens (HER→ATH; Aegean Airlines)</t>
        </is>
      </c>
      <c r="C5" s="4" t="inlineStr">
        <is>
          <t>$70–120/pp</t>
        </is>
      </c>
      <c r="D5" s="4" t="inlineStr">
        <is>
          <t>4</t>
        </is>
      </c>
      <c r="E5" s="5" t="n">
        <v>280</v>
      </c>
      <c r="F5" s="5" t="n">
        <v>380</v>
      </c>
      <c r="G5" s="5" t="n">
        <v>480</v>
      </c>
      <c r="H5" s="4" t="inlineStr">
        <is>
          <t>High</t>
        </is>
      </c>
      <c r="I5" s="4" t="inlineStr">
        <is>
          <t>Aegean Airlines; book 2–3 months ahead</t>
        </is>
      </c>
      <c r="J5" s="4" t="inlineStr">
        <is>
          <t>GR2-DO</t>
        </is>
      </c>
    </row>
    <row r="6">
      <c r="A6" s="2" t="inlineStr">
        <is>
          <t>Lodging</t>
        </is>
      </c>
      <c r="B6" s="2" t="inlineStr">
        <is>
          <t>West Crete (Agia Marina/Stalos/Kalamaki) — 5 nights</t>
        </is>
      </c>
      <c r="C6" s="2" t="inlineStr">
        <is>
          <t>$180–280/night</t>
        </is>
      </c>
      <c r="D6" s="2" t="inlineStr">
        <is>
          <t>5</t>
        </is>
      </c>
      <c r="E6" s="3" t="n">
        <v>900</v>
      </c>
      <c r="F6" s="3" t="n">
        <v>1150</v>
      </c>
      <c r="G6" s="3" t="n">
        <v>1400</v>
      </c>
      <c r="H6" s="2" t="inlineStr">
        <is>
          <t>Medium</t>
        </is>
      </c>
      <c r="I6" s="2" t="inlineStr">
        <is>
          <t>Booking.com; beach-area family hotels with pool and parking</t>
        </is>
      </c>
      <c r="J6" s="2" t="inlineStr">
        <is>
          <t>GR2-LO</t>
        </is>
      </c>
    </row>
    <row r="7">
      <c r="A7" s="4" t="inlineStr">
        <is>
          <t>Lodging</t>
        </is>
      </c>
      <c r="B7" s="4" t="inlineStr">
        <is>
          <t>East Crete — Agios Nikolaos mid-tier — 3 nights</t>
        </is>
      </c>
      <c r="C7" s="4" t="inlineStr">
        <is>
          <t>$150–260/night</t>
        </is>
      </c>
      <c r="D7" s="4" t="inlineStr">
        <is>
          <t>3</t>
        </is>
      </c>
      <c r="E7" s="5" t="n">
        <v>450</v>
      </c>
      <c r="F7" s="5" t="n">
        <v>660</v>
      </c>
      <c r="G7" s="5" t="n">
        <v>780</v>
      </c>
      <c r="H7" s="4" t="inlineStr">
        <is>
          <t>Medium</t>
        </is>
      </c>
      <c r="I7" s="4" t="inlineStr">
        <is>
          <t>Mid-tier hotel near harbor; Agios Nikolaos recommended over Elounda for value</t>
        </is>
      </c>
      <c r="J7" s="4" t="inlineStr">
        <is>
          <t>GR2-LO</t>
        </is>
      </c>
    </row>
    <row r="8">
      <c r="A8" s="2" t="inlineStr">
        <is>
          <t>Lodging</t>
        </is>
      </c>
      <c r="B8" s="2" t="inlineStr">
        <is>
          <t>Athens — 1 night (Plaka/Koukaki area)</t>
        </is>
      </c>
      <c r="C8" s="2" t="inlineStr">
        <is>
          <t>$150–280/night</t>
        </is>
      </c>
      <c r="D8" s="2" t="inlineStr">
        <is>
          <t>1</t>
        </is>
      </c>
      <c r="E8" s="3" t="n">
        <v>150</v>
      </c>
      <c r="F8" s="3" t="n">
        <v>200</v>
      </c>
      <c r="G8" s="3" t="n">
        <v>280</v>
      </c>
      <c r="H8" s="2" t="inlineStr">
        <is>
          <t>Medium</t>
        </is>
      </c>
      <c r="I8" s="2" t="inlineStr">
        <is>
          <t>Central Athens hotel; Plaka or Koukaki walkable to Acropolis</t>
        </is>
      </c>
      <c r="J8" s="2" t="inlineStr">
        <is>
          <t>GR2-LO</t>
        </is>
      </c>
    </row>
    <row r="9">
      <c r="A9" s="4" t="inlineStr">
        <is>
          <t>Rental Car</t>
        </is>
      </c>
      <c r="B9" s="4" t="inlineStr">
        <is>
          <t>Economy/compact 9 days CHQ pickup → HER return</t>
        </is>
      </c>
      <c r="C9" s="4" t="inlineStr">
        <is>
          <t>$50–85/day</t>
        </is>
      </c>
      <c r="D9" s="4" t="inlineStr">
        <is>
          <t>9</t>
        </is>
      </c>
      <c r="E9" s="5" t="n">
        <v>450</v>
      </c>
      <c r="F9" s="5" t="n">
        <v>580</v>
      </c>
      <c r="G9" s="5" t="n">
        <v>765</v>
      </c>
      <c r="H9" s="4" t="inlineStr">
        <is>
          <t>Medium</t>
        </is>
      </c>
      <c r="I9" s="4" t="inlineStr">
        <is>
          <t>Budget/Sixt/Europcar Crete; CHQ one-way to HER adds drop fee ~$50–100</t>
        </is>
      </c>
      <c r="J9" s="4" t="inlineStr">
        <is>
          <t>GR2-CA</t>
        </is>
      </c>
    </row>
    <row r="10">
      <c r="A10" s="2" t="inlineStr">
        <is>
          <t>Fuel &amp; Parking</t>
        </is>
      </c>
      <c r="B10" s="2" t="inlineStr">
        <is>
          <t>Crete driving 9 days (~700 km total)</t>
        </is>
      </c>
      <c r="C10" s="2" t="inlineStr">
        <is>
          <t>Estimate</t>
        </is>
      </c>
      <c r="D10" s="2" t="inlineStr">
        <is>
          <t>—</t>
        </is>
      </c>
      <c r="E10" s="3" t="n">
        <v>150</v>
      </c>
      <c r="F10" s="3" t="n">
        <v>200</v>
      </c>
      <c r="G10" s="3" t="n">
        <v>300</v>
      </c>
      <c r="H10" s="2" t="inlineStr">
        <is>
          <t>Low</t>
        </is>
      </c>
      <c r="I10" s="2" t="inlineStr">
        <is>
          <t>Crete petrol ~€1.90/L May 2026; minimal tolls; parking €5–10/day in cities</t>
        </is>
      </c>
      <c r="J10" s="2" t="inlineStr">
        <is>
          <t>GR2-CA</t>
        </is>
      </c>
    </row>
    <row r="11">
      <c r="A11" s="4" t="inlineStr">
        <is>
          <t>Activities</t>
        </is>
      </c>
      <c r="B11" s="4" t="inlineStr">
        <is>
          <t>Knossos Palace (timed entry)</t>
        </is>
      </c>
      <c r="C11" s="4" t="inlineStr">
        <is>
          <t>€15/adult; €8/youth</t>
        </is>
      </c>
      <c r="D11" s="4" t="inlineStr">
        <is>
          <t>4</t>
        </is>
      </c>
      <c r="E11" s="5" t="n">
        <v>50</v>
      </c>
      <c r="F11" s="5" t="n">
        <v>55</v>
      </c>
      <c r="G11" s="5" t="n">
        <v>55</v>
      </c>
      <c r="H11" s="4" t="inlineStr">
        <is>
          <t>High</t>
        </is>
      </c>
      <c r="I11" s="4" t="inlineStr">
        <is>
          <t>Greek Ministry of Culture / hhticket.gr</t>
        </is>
      </c>
      <c r="J11" s="4" t="inlineStr">
        <is>
          <t>GR2-AC</t>
        </is>
      </c>
    </row>
    <row r="12">
      <c r="A12" s="2" t="inlineStr">
        <is>
          <t>Activities</t>
        </is>
      </c>
      <c r="B12" s="2" t="inlineStr">
        <is>
          <t>Heraklion Archaeological Museum</t>
        </is>
      </c>
      <c r="C12" s="2" t="inlineStr">
        <is>
          <t>€15/adult; €8/youth</t>
        </is>
      </c>
      <c r="D12" s="2" t="inlineStr">
        <is>
          <t>4</t>
        </is>
      </c>
      <c r="E12" s="3" t="n">
        <v>50</v>
      </c>
      <c r="F12" s="3" t="n">
        <v>55</v>
      </c>
      <c r="G12" s="3" t="n">
        <v>55</v>
      </c>
      <c r="H12" s="2" t="inlineStr">
        <is>
          <t>High</t>
        </is>
      </c>
      <c r="I12" s="2" t="inlineStr">
        <is>
          <t>Official museum site; world-class Minoan collection</t>
        </is>
      </c>
      <c r="J12" s="2" t="inlineStr">
        <is>
          <t>GR2-AC</t>
        </is>
      </c>
    </row>
    <row r="13">
      <c r="A13" s="4" t="inlineStr">
        <is>
          <t>Activities</t>
        </is>
      </c>
      <c r="B13" s="4" t="inlineStr">
        <is>
          <t>Acropolis timed entry Day 11 — FIRM</t>
        </is>
      </c>
      <c r="C13" s="4" t="inlineStr">
        <is>
          <t>€30/adult; €15/youth</t>
        </is>
      </c>
      <c r="D13" s="4" t="inlineStr">
        <is>
          <t>4</t>
        </is>
      </c>
      <c r="E13" s="5" t="n">
        <v>120</v>
      </c>
      <c r="F13" s="5" t="n">
        <v>170</v>
      </c>
      <c r="G13" s="5" t="n">
        <v>170</v>
      </c>
      <c r="H13" s="4" t="inlineStr">
        <is>
          <t>High</t>
        </is>
      </c>
      <c r="I13" s="4" t="inlineStr">
        <is>
          <t>hhticket.gr; book immediately — July 7:30 am slots sell out</t>
        </is>
      </c>
      <c r="J13" s="4" t="inlineStr">
        <is>
          <t>GR2-AC</t>
        </is>
      </c>
    </row>
    <row r="14">
      <c r="A14" s="2" t="inlineStr">
        <is>
          <t>Activities</t>
        </is>
      </c>
      <c r="B14" s="2" t="inlineStr">
        <is>
          <t>Spinalonga boat + island entry</t>
        </is>
      </c>
      <c r="C14" s="2" t="inlineStr">
        <is>
          <t>€15–25/pp RT + €8 entry</t>
        </is>
      </c>
      <c r="D14" s="2" t="inlineStr">
        <is>
          <t>4</t>
        </is>
      </c>
      <c r="E14" s="3" t="n">
        <v>70</v>
      </c>
      <c r="F14" s="3" t="n">
        <v>105</v>
      </c>
      <c r="G14" s="3" t="n">
        <v>140</v>
      </c>
      <c r="H14" s="2" t="inlineStr">
        <is>
          <t>High</t>
        </is>
      </c>
      <c r="I14" s="2" t="inlineStr">
        <is>
          <t>Elounda–Spinalonga local operators; book morning boat</t>
        </is>
      </c>
      <c r="J14" s="2" t="inlineStr">
        <is>
          <t>GR2-AC</t>
        </is>
      </c>
    </row>
    <row r="15">
      <c r="A15" s="4" t="inlineStr">
        <is>
          <t>Activities</t>
        </is>
      </c>
      <c r="B15" s="4" t="inlineStr">
        <is>
          <t>Imbros Gorge entry</t>
        </is>
      </c>
      <c r="C15" s="4" t="inlineStr">
        <is>
          <t>€5/pp + taxi return from Sfakia</t>
        </is>
      </c>
      <c r="D15" s="4" t="inlineStr">
        <is>
          <t>4</t>
        </is>
      </c>
      <c r="E15" s="5" t="n">
        <v>10</v>
      </c>
      <c r="F15" s="5" t="n">
        <v>10</v>
      </c>
      <c r="G15" s="5" t="n">
        <v>10</v>
      </c>
      <c r="H15" s="4" t="inlineStr">
        <is>
          <t>High</t>
        </is>
      </c>
      <c r="I15" s="4" t="inlineStr">
        <is>
          <t>Pay at trailhead; taxi return ~€15 total</t>
        </is>
      </c>
      <c r="J15" s="4" t="inlineStr">
        <is>
          <t>GR2-AC</t>
        </is>
      </c>
    </row>
    <row r="16">
      <c r="A16" s="2" t="inlineStr">
        <is>
          <t>Activities</t>
        </is>
      </c>
      <c r="B16" s="2" t="inlineStr">
        <is>
          <t>Balos Lagoon (Kissamos ferry round-trip)</t>
        </is>
      </c>
      <c r="C16" s="2" t="inlineStr">
        <is>
          <t>€18–25/pp</t>
        </is>
      </c>
      <c r="D16" s="2" t="inlineStr">
        <is>
          <t>4</t>
        </is>
      </c>
      <c r="E16" s="3" t="n">
        <v>70</v>
      </c>
      <c r="F16" s="3" t="n">
        <v>100</v>
      </c>
      <c r="G16" s="3" t="n">
        <v>140</v>
      </c>
      <c r="H16" s="2" t="inlineStr">
        <is>
          <t>Medium</t>
        </is>
      </c>
      <c r="I16" s="2" t="inlineStr">
        <is>
          <t>Kissamos ferry operator; pre-book July; alternatively drive to overlook</t>
        </is>
      </c>
      <c r="J16" s="2" t="inlineStr">
        <is>
          <t>GR2-AC</t>
        </is>
      </c>
    </row>
    <row r="17">
      <c r="A17" s="4" t="inlineStr">
        <is>
          <t>Activities (opt.)</t>
        </is>
      </c>
      <c r="B17" s="4" t="inlineStr">
        <is>
          <t>Inland village olive oil / food tasting</t>
        </is>
      </c>
      <c r="C17" s="4" t="inlineStr">
        <is>
          <t>€20/pp</t>
        </is>
      </c>
      <c r="D17" s="4" t="inlineStr">
        <is>
          <t>4</t>
        </is>
      </c>
      <c r="E17" s="5" t="n">
        <v>0</v>
      </c>
      <c r="F17" s="5" t="n">
        <v>80</v>
      </c>
      <c r="G17" s="5" t="n">
        <v>130</v>
      </c>
      <c r="H17" s="4" t="inlineStr">
        <is>
          <t>Low</t>
        </is>
      </c>
      <c r="I17" s="4" t="inlineStr">
        <is>
          <t>Optional; Cretan olive oil estates in Vamos / Gavalochori area</t>
        </is>
      </c>
      <c r="J17" s="4" t="inlineStr">
        <is>
          <t>—</t>
        </is>
      </c>
    </row>
    <row r="18">
      <c r="A18" s="2" t="inlineStr">
        <is>
          <t>Activities</t>
        </is>
      </c>
      <c r="B18" s="2" t="inlineStr">
        <is>
          <t>Misc (Rethymno Fortezza, Sfakia taxi, beach incidentals, parking)</t>
        </is>
      </c>
      <c r="C18" s="2" t="inlineStr">
        <is>
          <t>Estimate</t>
        </is>
      </c>
      <c r="D18" s="2" t="inlineStr">
        <is>
          <t>—</t>
        </is>
      </c>
      <c r="E18" s="3" t="n">
        <v>50</v>
      </c>
      <c r="F18" s="3" t="n">
        <v>120</v>
      </c>
      <c r="G18" s="3" t="n">
        <v>220</v>
      </c>
      <c r="H18" s="2" t="inlineStr">
        <is>
          <t>Low</t>
        </is>
      </c>
      <c r="I18" s="2" t="inlineStr">
        <is>
          <t>Estimate</t>
        </is>
      </c>
      <c r="J18" s="2" t="inlineStr">
        <is>
          <t>—</t>
        </is>
      </c>
    </row>
    <row r="19">
      <c r="A19" s="4" t="inlineStr">
        <is>
          <t>Food &amp; Dining</t>
        </is>
      </c>
      <c r="B19" s="4" t="inlineStr">
        <is>
          <t>9 ground days × 4 people</t>
        </is>
      </c>
      <c r="C19" s="4" t="inlineStr">
        <is>
          <t>$50/$80/$120 pp/day</t>
        </is>
      </c>
      <c r="D19" s="4" t="inlineStr">
        <is>
          <t>36 pp-days</t>
        </is>
      </c>
      <c r="E19" s="5" t="n">
        <v>1800</v>
      </c>
      <c r="F19" s="5" t="n">
        <v>2880</v>
      </c>
      <c r="G19" s="5" t="n">
        <v>4320</v>
      </c>
      <c r="H19" s="4" t="inlineStr">
        <is>
          <t>Medium</t>
        </is>
      </c>
      <c r="I19" s="4" t="inlineStr">
        <is>
          <t>Crete tavernas competitive; Agios Nikolaos harbor restaurants mid-range</t>
        </is>
      </c>
      <c r="J19" s="4" t="inlineStr">
        <is>
          <t>GR2-FD</t>
        </is>
      </c>
    </row>
    <row r="20">
      <c r="A20" s="2" t="inlineStr">
        <is>
          <t>Travel Insurance</t>
        </is>
      </c>
      <c r="B20" s="2" t="inlineStr">
        <is>
          <t>Trip protection (rental car + flight delays)</t>
        </is>
      </c>
      <c r="C20" s="2" t="inlineStr">
        <is>
          <t>$80/pp</t>
        </is>
      </c>
      <c r="D20" s="2" t="inlineStr">
        <is>
          <t>4</t>
        </is>
      </c>
      <c r="E20" s="3" t="n">
        <v>200</v>
      </c>
      <c r="F20" s="3" t="n">
        <v>320</v>
      </c>
      <c r="G20" s="3" t="n">
        <v>500</v>
      </c>
      <c r="H20" s="2" t="inlineStr">
        <is>
          <t>Medium</t>
        </is>
      </c>
      <c r="I20" s="2" t="inlineStr">
        <is>
          <t>Recommended; ensure rental car coverage included</t>
        </is>
      </c>
      <c r="J20" s="2" t="inlineStr">
        <is>
          <t>—</t>
        </is>
      </c>
    </row>
    <row r="21">
      <c r="A21" s="6" t="inlineStr">
        <is>
          <t>TOTAL</t>
        </is>
      </c>
      <c r="B21" s="6" t="inlineStr"/>
      <c r="C21" s="6" t="inlineStr"/>
      <c r="D21" s="6" t="inlineStr"/>
      <c r="E21" s="7">
        <f>SUM(E2:E20)</f>
        <v/>
      </c>
      <c r="F21" s="7">
        <f>SUM(F2:F20)</f>
        <v/>
      </c>
      <c r="G21" s="7">
        <f>SUM(G2:G20)</f>
        <v/>
      </c>
      <c r="H21" s="6" t="inlineStr"/>
      <c r="I21" s="6" t="inlineStr"/>
      <c r="J21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4" customWidth="1" min="7" max="7"/>
  </cols>
  <sheetData>
    <row r="1" ht="36" customHeight="1">
      <c r="A1" s="1" t="inlineStr">
        <is>
          <t>Category (Mid-Range)</t>
        </is>
      </c>
      <c r="B1" s="1" t="inlineStr">
        <is>
          <t>Greece — Opt 1 (Cyclades)</t>
        </is>
      </c>
      <c r="C1" s="1" t="inlineStr">
        <is>
          <t>Greece — Opt 2 (Crete)</t>
        </is>
      </c>
      <c r="D1" s="1" t="inlineStr">
        <is>
          <t>Bavaria — Opt 1 (Alpine)</t>
        </is>
      </c>
      <c r="E1" s="1" t="inlineStr">
        <is>
          <t>Bavaria — Opt 2 (Cities)</t>
        </is>
      </c>
      <c r="F1" s="1" t="inlineStr">
        <is>
          <t>St. Lucia (A) All-Incl.</t>
        </is>
      </c>
      <c r="G1" s="1" t="inlineStr">
        <is>
          <t>St. Lucia (B) Independent</t>
        </is>
      </c>
    </row>
    <row r="2">
      <c r="A2" s="2" t="inlineStr">
        <is>
          <t>Flights + Bags</t>
        </is>
      </c>
      <c r="B2" s="3">
        <f>SUM(Greece_Costs!F2:F3)</f>
        <v/>
      </c>
      <c r="C2" s="3">
        <f>SUM(Greece2_Costs!F2:F5)</f>
        <v/>
      </c>
      <c r="D2" s="3">
        <f>SUM(Bavaria_Costs!F2:F3)</f>
        <v/>
      </c>
      <c r="E2" s="3">
        <f>SUM(Bavaria2_Costs!F2:F3)</f>
        <v/>
      </c>
      <c r="F2" s="3">
        <f>SUM(StLucia_Costs!F2:F3)</f>
        <v/>
      </c>
      <c r="G2" s="3">
        <f>SUM(StLucia_Costs!F2:F3)</f>
        <v/>
      </c>
    </row>
    <row r="3">
      <c r="A3" s="4" t="inlineStr">
        <is>
          <t>Lodging</t>
        </is>
      </c>
      <c r="B3" s="5">
        <f>SUM(Greece_Costs!F4:F7)</f>
        <v/>
      </c>
      <c r="C3" s="5">
        <f>SUM(Greece2_Costs!F6:F8)</f>
        <v/>
      </c>
      <c r="D3" s="5">
        <f>SUM(Bavaria_Costs!F4:F7)</f>
        <v/>
      </c>
      <c r="E3" s="5">
        <f>SUM(Bavaria2_Costs!F4:F6)</f>
        <v/>
      </c>
      <c r="F3" s="5">
        <f>StLucia_Costs!F4</f>
        <v/>
      </c>
      <c r="G3" s="5">
        <f>SUM(StLucia_Costs!F5:F6)</f>
        <v/>
      </c>
    </row>
    <row r="4">
      <c r="A4" s="2" t="inlineStr">
        <is>
          <t>Ground Transport / Ferries / Rail</t>
        </is>
      </c>
      <c r="B4" s="3">
        <f>SUM(Greece_Costs!F8:F12)</f>
        <v/>
      </c>
      <c r="C4" s="3">
        <f>SUM(Greece2_Costs!F9:F10)</f>
        <v/>
      </c>
      <c r="D4" s="3">
        <f>SUM(Bavaria_Costs!F8:F12)</f>
        <v/>
      </c>
      <c r="E4" s="3">
        <f>SUM(Bavaria2_Costs!F7:F12)</f>
        <v/>
      </c>
      <c r="F4" s="3">
        <f>SUM(StLucia_Costs!F7:F8)</f>
        <v/>
      </c>
      <c r="G4" s="3">
        <f>SUM(StLucia_Costs!F9:F12)</f>
        <v/>
      </c>
    </row>
    <row r="5">
      <c r="A5" s="4" t="inlineStr">
        <is>
          <t>Activities</t>
        </is>
      </c>
      <c r="B5" s="5">
        <f>SUM(Greece_Costs!F13:F20)</f>
        <v/>
      </c>
      <c r="C5" s="5">
        <f>SUM(Greece2_Costs!F11:F18)</f>
        <v/>
      </c>
      <c r="D5" s="5">
        <f>SUM(Bavaria_Costs!F13:F25)</f>
        <v/>
      </c>
      <c r="E5" s="5">
        <f>SUM(Bavaria2_Costs!F13:F24)</f>
        <v/>
      </c>
      <c r="F5" s="5">
        <f>SUM(StLucia_Costs!F13:F21)</f>
        <v/>
      </c>
      <c r="G5" s="5">
        <f>SUM(StLucia_Costs!F13:F21)</f>
        <v/>
      </c>
    </row>
    <row r="6">
      <c r="A6" s="2" t="inlineStr">
        <is>
          <t>Food &amp; Dining</t>
        </is>
      </c>
      <c r="B6" s="3">
        <f>Greece_Costs!F21</f>
        <v/>
      </c>
      <c r="C6" s="3">
        <f>Greece2_Costs!F19</f>
        <v/>
      </c>
      <c r="D6" s="3">
        <f>Bavaria_Costs!F26</f>
        <v/>
      </c>
      <c r="E6" s="3">
        <f>Bavaria2_Costs!F25</f>
        <v/>
      </c>
      <c r="F6" s="3">
        <f>StLucia_Costs!F22</f>
        <v/>
      </c>
      <c r="G6" s="3">
        <f>StLucia_Costs!F23</f>
        <v/>
      </c>
    </row>
    <row r="7">
      <c r="A7" s="4" t="inlineStr">
        <is>
          <t>Insurance &amp; Misc</t>
        </is>
      </c>
      <c r="B7" s="5">
        <f>Greece_Costs!F22</f>
        <v/>
      </c>
      <c r="C7" s="5">
        <f>Greece2_Costs!F20</f>
        <v/>
      </c>
      <c r="D7" s="5">
        <f>Bavaria_Costs!F27</f>
        <v/>
      </c>
      <c r="E7" s="5">
        <f>Bavaria2_Costs!F26</f>
        <v/>
      </c>
      <c r="F7" s="5">
        <f>SUM(StLucia_Costs!F24:F25)</f>
        <v/>
      </c>
      <c r="G7" s="5">
        <f>SUM(StLucia_Costs!F24:F25)</f>
        <v/>
      </c>
    </row>
    <row r="8">
      <c r="A8" s="6" t="inlineStr">
        <is>
          <t>TOTAL MID (Family of 4)</t>
        </is>
      </c>
      <c r="B8" s="7">
        <f>SUM(B2:B7)</f>
        <v/>
      </c>
      <c r="C8" s="7">
        <f>SUM(C2:C7)</f>
        <v/>
      </c>
      <c r="D8" s="7">
        <f>SUM(D2:D7)</f>
        <v/>
      </c>
      <c r="E8" s="7">
        <f>SUM(E2:E7)</f>
        <v/>
      </c>
      <c r="F8" s="7">
        <f>SUM(F2:F7)</f>
        <v/>
      </c>
      <c r="G8" s="7">
        <f>SUM(G2:G7)</f>
        <v/>
      </c>
    </row>
    <row r="9">
      <c r="A9" s="4" t="inlineStr">
        <is>
          <t>Nights on Ground</t>
        </is>
      </c>
      <c r="B9" s="4">
        <f>Summary!C2</f>
        <v/>
      </c>
      <c r="C9" s="4">
        <f>Summary!C3</f>
        <v/>
      </c>
      <c r="D9" s="4">
        <f>Summary!C4</f>
        <v/>
      </c>
      <c r="E9" s="4">
        <f>Summary!C5</f>
        <v/>
      </c>
      <c r="F9" s="4">
        <f>Summary!C6</f>
        <v/>
      </c>
      <c r="G9" s="4">
        <f>Summary!C7</f>
        <v/>
      </c>
    </row>
    <row r="10">
      <c r="A10" s="2" t="inlineStr">
        <is>
          <t>Cost per Night on Ground (Mid)</t>
        </is>
      </c>
      <c r="B10" s="3">
        <f>B8/B9</f>
        <v/>
      </c>
      <c r="C10" s="3">
        <f>C8/C9</f>
        <v/>
      </c>
      <c r="D10" s="3">
        <f>D8/D9</f>
        <v/>
      </c>
      <c r="E10" s="3">
        <f>E8/E9</f>
        <v/>
      </c>
      <c r="F10" s="3">
        <f>F8/F9</f>
        <v/>
      </c>
      <c r="G10" s="3">
        <f>G8/G9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32" customWidth="1" min="5" max="5"/>
    <col width="46" customWidth="1" min="6" max="6"/>
    <col width="12" customWidth="1" min="7" max="7"/>
    <col width="44" customWidth="1" min="8" max="8"/>
  </cols>
  <sheetData>
    <row r="1" ht="36" customHeight="1">
      <c r="A1" s="1" t="inlineStr">
        <is>
          <t>Source ID</t>
        </is>
      </c>
      <c r="B1" s="1" t="inlineStr">
        <is>
          <t>Destination</t>
        </is>
      </c>
      <c r="C1" s="1" t="inlineStr">
        <is>
          <t>Category</t>
        </is>
      </c>
      <c r="D1" s="1" t="inlineStr">
        <is>
          <t>Source Name</t>
        </is>
      </c>
      <c r="E1" s="1" t="inlineStr">
        <is>
          <t>URL / Where to Find</t>
        </is>
      </c>
      <c r="F1" s="1" t="inlineStr">
        <is>
          <t>What It Supports</t>
        </is>
      </c>
      <c r="G1" s="1" t="inlineStr">
        <is>
          <t>Reliability</t>
        </is>
      </c>
      <c r="H1" s="1" t="inlineStr">
        <is>
          <t>Notes</t>
        </is>
      </c>
    </row>
    <row r="2">
      <c r="A2" s="2" t="inlineStr">
        <is>
          <t>GR-FL</t>
        </is>
      </c>
      <c r="B2" s="2" t="inlineStr">
        <is>
          <t>Greece Opt 1</t>
        </is>
      </c>
      <c r="C2" s="2" t="inlineStr">
        <is>
          <t>Flights</t>
        </is>
      </c>
      <c r="D2" s="2" t="inlineStr">
        <is>
          <t>United Airlines IAD–ATH seasonal nonstop</t>
        </is>
      </c>
      <c r="E2" s="2" t="inlineStr">
        <is>
          <t>united.com</t>
        </is>
      </c>
      <c r="F2" s="2" t="inlineStr">
        <is>
          <t>IAD–ATH nonstop routing and fare confirmation</t>
        </is>
      </c>
      <c r="G2" s="2" t="inlineStr">
        <is>
          <t>High</t>
        </is>
      </c>
      <c r="H2" s="2" t="inlineStr">
        <is>
          <t>Seasonal summer nonstop; verify July 2026 schedule</t>
        </is>
      </c>
    </row>
    <row r="3">
      <c r="A3" s="4" t="inlineStr">
        <is>
          <t>GR-FL</t>
        </is>
      </c>
      <c r="B3" s="4" t="inlineStr">
        <is>
          <t>Greece Opt 1</t>
        </is>
      </c>
      <c r="C3" s="4" t="inlineStr">
        <is>
          <t>Flights</t>
        </is>
      </c>
      <c r="D3" s="4" t="inlineStr">
        <is>
          <t>Lufthansa IAD–FRA–ATH</t>
        </is>
      </c>
      <c r="E3" s="4" t="inlineStr">
        <is>
          <t>lufthansa.com</t>
        </is>
      </c>
      <c r="F3" s="4" t="inlineStr">
        <is>
          <t>Connecting option; typically competitive in advance</t>
        </is>
      </c>
      <c r="G3" s="4" t="inlineStr">
        <is>
          <t>High</t>
        </is>
      </c>
      <c r="H3" s="4" t="inlineStr"/>
    </row>
    <row r="4">
      <c r="A4" s="2" t="inlineStr">
        <is>
          <t>GR-FL</t>
        </is>
      </c>
      <c r="B4" s="2" t="inlineStr">
        <is>
          <t>Greece Opt 1</t>
        </is>
      </c>
      <c r="C4" s="2" t="inlineStr">
        <is>
          <t>Flights</t>
        </is>
      </c>
      <c r="D4" s="2" t="inlineStr">
        <is>
          <t>Google Flights / Kayak</t>
        </is>
      </c>
      <c r="E4" s="2" t="inlineStr">
        <is>
          <t>flights.google.com / kayak.com</t>
        </is>
      </c>
      <c r="F4" s="2" t="inlineStr">
        <is>
          <t>Fare market scanning and range validation</t>
        </is>
      </c>
      <c r="G4" s="2" t="inlineStr">
        <is>
          <t>Medium</t>
        </is>
      </c>
      <c r="H4" s="2" t="inlineStr">
        <is>
          <t>Fares highly volatile; use as range only</t>
        </is>
      </c>
    </row>
    <row r="5">
      <c r="A5" s="4" t="inlineStr">
        <is>
          <t>GR-AC</t>
        </is>
      </c>
      <c r="B5" s="4" t="inlineStr">
        <is>
          <t>Greece Opt 1</t>
        </is>
      </c>
      <c r="C5" s="4" t="inlineStr">
        <is>
          <t>Attractions</t>
        </is>
      </c>
      <c r="D5" s="4" t="inlineStr">
        <is>
          <t>Greek Ministry of Culture / hhticket.gr</t>
        </is>
      </c>
      <c r="E5" s="4" t="inlineStr">
        <is>
          <t>hhticket.gr</t>
        </is>
      </c>
      <c r="F5" s="4" t="inlineStr">
        <is>
          <t>Acropolis timed-entry booking; official pricing (€30 flat 2026)</t>
        </is>
      </c>
      <c r="G5" s="4" t="inlineStr">
        <is>
          <t>High</t>
        </is>
      </c>
      <c r="H5" s="4" t="inlineStr">
        <is>
          <t>Book timed entry immediately; July slots sell out weeks ahead</t>
        </is>
      </c>
    </row>
    <row r="6">
      <c r="A6" s="2" t="inlineStr">
        <is>
          <t>GR-AC</t>
        </is>
      </c>
      <c r="B6" s="2" t="inlineStr">
        <is>
          <t>Greece Opt 1</t>
        </is>
      </c>
      <c r="C6" s="2" t="inlineStr">
        <is>
          <t>Attractions</t>
        </is>
      </c>
      <c r="D6" s="2" t="inlineStr">
        <is>
          <t>Acropolis Museum official</t>
        </is>
      </c>
      <c r="E6" s="2" t="inlineStr">
        <is>
          <t>theacropolismuseum.gr</t>
        </is>
      </c>
      <c r="F6" s="2" t="inlineStr">
        <is>
          <t>Museum hours; admission pricing (€15 adult)</t>
        </is>
      </c>
      <c r="G6" s="2" t="inlineStr">
        <is>
          <t>High</t>
        </is>
      </c>
      <c r="H6" s="2" t="inlineStr"/>
    </row>
    <row r="7">
      <c r="A7" s="4" t="inlineStr">
        <is>
          <t>GR-FE</t>
        </is>
      </c>
      <c r="B7" s="4" t="inlineStr">
        <is>
          <t>Greece Opt 1</t>
        </is>
      </c>
      <c r="C7" s="4" t="inlineStr">
        <is>
          <t>Ferries</t>
        </is>
      </c>
      <c r="D7" s="4" t="inlineStr">
        <is>
          <t>Blue Star Ferries</t>
        </is>
      </c>
      <c r="E7" s="4" t="inlineStr">
        <is>
          <t>bluestarferries.com</t>
        </is>
      </c>
      <c r="F7" s="4" t="inlineStr">
        <is>
          <t>Piraeus–Naxos schedules; pricing; stability in meltemi winds</t>
        </is>
      </c>
      <c r="G7" s="4" t="inlineStr">
        <is>
          <t>High</t>
        </is>
      </c>
      <c r="H7" s="4" t="inlineStr">
        <is>
          <t>Blue Star far more wind-stable than Seajets; recommended for Piraeus–Naxos leg</t>
        </is>
      </c>
    </row>
    <row r="8">
      <c r="A8" s="2" t="inlineStr">
        <is>
          <t>GR-FE</t>
        </is>
      </c>
      <c r="B8" s="2" t="inlineStr">
        <is>
          <t>Greece Opt 1</t>
        </is>
      </c>
      <c r="C8" s="2" t="inlineStr">
        <is>
          <t>Ferries</t>
        </is>
      </c>
      <c r="D8" s="2" t="inlineStr">
        <is>
          <t>Seajets</t>
        </is>
      </c>
      <c r="E8" s="2" t="inlineStr">
        <is>
          <t>seajets.com</t>
        </is>
      </c>
      <c r="F8" s="2" t="inlineStr">
        <is>
          <t>Fast-ferry schedules Naxos–Santorini; pricing</t>
        </is>
      </c>
      <c r="G8" s="2" t="inlineStr">
        <is>
          <t>High</t>
        </is>
      </c>
      <c r="H8" s="2" t="inlineStr">
        <is>
          <t>Weather-sensitive; check before travel</t>
        </is>
      </c>
    </row>
    <row r="9">
      <c r="A9" s="4" t="inlineStr">
        <is>
          <t>GR-FE</t>
        </is>
      </c>
      <c r="B9" s="4" t="inlineStr">
        <is>
          <t>Greece Opt 1</t>
        </is>
      </c>
      <c r="C9" s="4" t="inlineStr">
        <is>
          <t>Ferries</t>
        </is>
      </c>
      <c r="D9" s="4" t="inlineStr">
        <is>
          <t>Ferryhopper (aggregator)</t>
        </is>
      </c>
      <c r="E9" s="4" t="inlineStr">
        <is>
          <t>ferryhopper.com</t>
        </is>
      </c>
      <c r="F9" s="4" t="inlineStr">
        <is>
          <t>Ferry booking aggregator; compares operators</t>
        </is>
      </c>
      <c r="G9" s="4" t="inlineStr">
        <is>
          <t>Medium-High</t>
        </is>
      </c>
      <c r="H9" s="4" t="inlineStr">
        <is>
          <t>Good for comparing Blue Star vs. Seajets options</t>
        </is>
      </c>
    </row>
    <row r="10">
      <c r="A10" s="2" t="inlineStr">
        <is>
          <t>GR-DF</t>
        </is>
      </c>
      <c r="B10" s="2" t="inlineStr">
        <is>
          <t>Greece Opt 1</t>
        </is>
      </c>
      <c r="C10" s="2" t="inlineStr">
        <is>
          <t>Domestic Flights</t>
        </is>
      </c>
      <c r="D10" s="2" t="inlineStr">
        <is>
          <t>Aegean Airlines</t>
        </is>
      </c>
      <c r="E10" s="2" t="inlineStr">
        <is>
          <t>aegeanair.com</t>
        </is>
      </c>
      <c r="F10" s="2" t="inlineStr">
        <is>
          <t>Santorini → Athens domestic; 5–6 daily; ~50 min</t>
        </is>
      </c>
      <c r="G10" s="2" t="inlineStr">
        <is>
          <t>High</t>
        </is>
      </c>
      <c r="H10" s="2" t="inlineStr">
        <is>
          <t>Recommended for buffer-day return to Athens</t>
        </is>
      </c>
    </row>
    <row r="11">
      <c r="A11" s="4" t="inlineStr">
        <is>
          <t>GR-LO</t>
        </is>
      </c>
      <c r="B11" s="4" t="inlineStr">
        <is>
          <t>Greece Opt 1</t>
        </is>
      </c>
      <c r="C11" s="4" t="inlineStr">
        <is>
          <t>Lodging</t>
        </is>
      </c>
      <c r="D11" s="4" t="inlineStr">
        <is>
          <t>Booking.com / Expedia / direct hotels</t>
        </is>
      </c>
      <c r="E11" s="4" t="inlineStr">
        <is>
          <t>booking.com</t>
        </is>
      </c>
      <c r="F11" s="4" t="inlineStr">
        <is>
          <t>Athens, Naxos, Santorini family room rates</t>
        </is>
      </c>
      <c r="G11" s="4" t="inlineStr">
        <is>
          <t>Medium</t>
        </is>
      </c>
      <c r="H11" s="4" t="inlineStr">
        <is>
          <t>July peak; Santorini caldera-view hotels sell out 6+ months ahead</t>
        </is>
      </c>
    </row>
    <row r="12">
      <c r="A12" s="2" t="inlineStr">
        <is>
          <t>GR-TR</t>
        </is>
      </c>
      <c r="B12" s="2" t="inlineStr">
        <is>
          <t>Greece Opt 1</t>
        </is>
      </c>
      <c r="C12" s="2" t="inlineStr">
        <is>
          <t>Transfers</t>
        </is>
      </c>
      <c r="D12" s="2" t="inlineStr">
        <is>
          <t>Proastiakos Athens Metro (airport express)</t>
        </is>
      </c>
      <c r="E12" s="2" t="inlineStr">
        <is>
          <t>stasy.gr</t>
        </is>
      </c>
      <c r="F12" s="2" t="inlineStr">
        <is>
          <t>Athens airport express train; fares; under-18 half price</t>
        </is>
      </c>
      <c r="G12" s="2" t="inlineStr">
        <is>
          <t>High</t>
        </is>
      </c>
      <c r="H12" s="2" t="inlineStr"/>
    </row>
    <row r="13">
      <c r="A13" s="4" t="inlineStr">
        <is>
          <t>GR-FD</t>
        </is>
      </c>
      <c r="B13" s="4" t="inlineStr">
        <is>
          <t>Greece Opt 1</t>
        </is>
      </c>
      <c r="C13" s="4" t="inlineStr">
        <is>
          <t>Food</t>
        </is>
      </c>
      <c r="D13" s="4" t="inlineStr">
        <is>
          <t>Greek National Tourism Org / Santorini Dave</t>
        </is>
      </c>
      <c r="E13" s="4" t="inlineStr">
        <is>
          <t>visitgreece.gr</t>
        </is>
      </c>
      <c r="F13" s="4" t="inlineStr">
        <is>
          <t>Dining cost benchmarks for Athens, Naxos, Santorini</t>
        </is>
      </c>
      <c r="G13" s="4" t="inlineStr">
        <is>
          <t>Medium</t>
        </is>
      </c>
      <c r="H13" s="4" t="inlineStr">
        <is>
          <t>Estimate; confirm on arrival</t>
        </is>
      </c>
    </row>
    <row r="14">
      <c r="A14" s="2" t="inlineStr">
        <is>
          <t>GR2-DO</t>
        </is>
      </c>
      <c r="B14" s="2" t="inlineStr">
        <is>
          <t>Greece Opt 2</t>
        </is>
      </c>
      <c r="C14" s="2" t="inlineStr">
        <is>
          <t>Domestic Flights</t>
        </is>
      </c>
      <c r="D14" s="2" t="inlineStr">
        <is>
          <t>Aegean Airlines ATH–CHQ / HER–ATH</t>
        </is>
      </c>
      <c r="E14" s="2" t="inlineStr">
        <is>
          <t>aegeanair.com</t>
        </is>
      </c>
      <c r="F14" s="2" t="inlineStr">
        <is>
          <t>Both Crete domestic legs; ~50 min each; book 2–3 months ahead</t>
        </is>
      </c>
      <c r="G14" s="2" t="inlineStr">
        <is>
          <t>High</t>
        </is>
      </c>
      <c r="H14" s="2" t="inlineStr">
        <is>
          <t>Book together with main IAD–ATH international itinerary</t>
        </is>
      </c>
    </row>
    <row r="15">
      <c r="A15" s="4" t="inlineStr">
        <is>
          <t>GR2-LO</t>
        </is>
      </c>
      <c r="B15" s="4" t="inlineStr">
        <is>
          <t>Greece Opt 2</t>
        </is>
      </c>
      <c r="C15" s="4" t="inlineStr">
        <is>
          <t>Lodging</t>
        </is>
      </c>
      <c r="D15" s="4" t="inlineStr">
        <is>
          <t>Booking.com / direct Crete hotels</t>
        </is>
      </c>
      <c r="E15" s="4" t="inlineStr">
        <is>
          <t>booking.com</t>
        </is>
      </c>
      <c r="F15" s="4" t="inlineStr">
        <is>
          <t>West Crete (Agia Marina/Stalos) and East Crete (Agios Nikolaos) family hotel rates</t>
        </is>
      </c>
      <c r="G15" s="4" t="inlineStr">
        <is>
          <t>Medium</t>
        </is>
      </c>
      <c r="H15" s="4" t="inlineStr">
        <is>
          <t>Book Agios Nikolaos mid-tier hotel 4–5 months ahead for July</t>
        </is>
      </c>
    </row>
    <row r="16">
      <c r="A16" s="2" t="inlineStr">
        <is>
          <t>GR2-CA</t>
        </is>
      </c>
      <c r="B16" s="2" t="inlineStr">
        <is>
          <t>Greece Opt 2</t>
        </is>
      </c>
      <c r="C16" s="2" t="inlineStr">
        <is>
          <t>Car Rental</t>
        </is>
      </c>
      <c r="D16" s="2" t="inlineStr">
        <is>
          <t>Budget / Sixt / Europcar Crete</t>
        </is>
      </c>
      <c r="E16" s="2" t="inlineStr">
        <is>
          <t>budget.com / sixt.com</t>
        </is>
      </c>
      <c r="F16" s="2" t="inlineStr">
        <is>
          <t>Economy/compact rental CHQ pickup one-way to HER; 9 days</t>
        </is>
      </c>
      <c r="G16" s="2" t="inlineStr">
        <is>
          <t>Medium</t>
        </is>
      </c>
      <c r="H16" s="2" t="inlineStr">
        <is>
          <t>One-way drop fee varies; compare operators directly; fuel full-to-full</t>
        </is>
      </c>
    </row>
    <row r="17">
      <c r="A17" s="4" t="inlineStr">
        <is>
          <t>GR2-AC</t>
        </is>
      </c>
      <c r="B17" s="4" t="inlineStr">
        <is>
          <t>Greece Opt 2</t>
        </is>
      </c>
      <c r="C17" s="4" t="inlineStr">
        <is>
          <t>Attractions</t>
        </is>
      </c>
      <c r="D17" s="4" t="inlineStr">
        <is>
          <t>Greek Ministry of Culture / hhticket.gr — Knossos &amp; Heraklion Museum</t>
        </is>
      </c>
      <c r="E17" s="4" t="inlineStr">
        <is>
          <t>hhticket.gr</t>
        </is>
      </c>
      <c r="F17" s="4" t="inlineStr">
        <is>
          <t>Knossos Palace timed entry and Heraklion Archaeological Museum pricing</t>
        </is>
      </c>
      <c r="G17" s="4" t="inlineStr">
        <is>
          <t>High</t>
        </is>
      </c>
      <c r="H17" s="4" t="inlineStr">
        <is>
          <t>Knossos timed entry recommended in July; museum is world-class</t>
        </is>
      </c>
    </row>
    <row r="18">
      <c r="A18" s="2" t="inlineStr">
        <is>
          <t>GR2-AC</t>
        </is>
      </c>
      <c r="B18" s="2" t="inlineStr">
        <is>
          <t>Greece Opt 2</t>
        </is>
      </c>
      <c r="C18" s="2" t="inlineStr">
        <is>
          <t>Attractions</t>
        </is>
      </c>
      <c r="D18" s="2" t="inlineStr">
        <is>
          <t>hhticket.gr — Acropolis timed entry</t>
        </is>
      </c>
      <c r="E18" s="2" t="inlineStr">
        <is>
          <t>hhticket.gr</t>
        </is>
      </c>
      <c r="F18" s="2" t="inlineStr">
        <is>
          <t>Acropolis Day 11 firm activity; €30 adult flat rate 2026</t>
        </is>
      </c>
      <c r="G18" s="2" t="inlineStr">
        <is>
          <t>High</t>
        </is>
      </c>
      <c r="H18" s="2" t="inlineStr">
        <is>
          <t>Book immediately; July 7:30 am slots sell out weeks ahead</t>
        </is>
      </c>
    </row>
    <row r="19">
      <c r="A19" s="4" t="inlineStr">
        <is>
          <t>GR2-AC</t>
        </is>
      </c>
      <c r="B19" s="4" t="inlineStr">
        <is>
          <t>Greece Opt 2</t>
        </is>
      </c>
      <c r="C19" s="4" t="inlineStr">
        <is>
          <t>Attractions</t>
        </is>
      </c>
      <c r="D19" s="4" t="inlineStr">
        <is>
          <t>Elounda–Spinalonga local boat operators</t>
        </is>
      </c>
      <c r="E19" s="4" t="inlineStr">
        <is>
          <t>elounda.gr / local dock</t>
        </is>
      </c>
      <c r="F19" s="4" t="inlineStr">
        <is>
          <t>Spinalonga round-trip boat and island entry; morning boats recommended</t>
        </is>
      </c>
      <c r="G19" s="4" t="inlineStr">
        <is>
          <t>High</t>
        </is>
      </c>
      <c r="H19" s="4" t="inlineStr">
        <is>
          <t>Multiple operators at Elounda dock; pre-book July</t>
        </is>
      </c>
    </row>
    <row r="20">
      <c r="A20" s="2" t="inlineStr">
        <is>
          <t>GR2-AC</t>
        </is>
      </c>
      <c r="B20" s="2" t="inlineStr">
        <is>
          <t>Greece Opt 2</t>
        </is>
      </c>
      <c r="C20" s="2" t="inlineStr">
        <is>
          <t>Attractions</t>
        </is>
      </c>
      <c r="D20" s="2" t="inlineStr">
        <is>
          <t>Kissamos Ferry (Balos Lagoon)</t>
        </is>
      </c>
      <c r="E20" s="2" t="inlineStr">
        <is>
          <t>kissamos-ferries.gr</t>
        </is>
      </c>
      <c r="F20" s="2" t="inlineStr">
        <is>
          <t>Kissamos–Balos return ferry; seasonal May–Oct; July books up</t>
        </is>
      </c>
      <c r="G20" s="2" t="inlineStr">
        <is>
          <t>Medium</t>
        </is>
      </c>
      <c r="H20" s="2" t="inlineStr">
        <is>
          <t>Pre-book ferry; alternatively drive to Balos overlook for free</t>
        </is>
      </c>
    </row>
    <row r="21">
      <c r="A21" s="4" t="inlineStr">
        <is>
          <t>GR2-FD</t>
        </is>
      </c>
      <c r="B21" s="4" t="inlineStr">
        <is>
          <t>Greece Opt 2</t>
        </is>
      </c>
      <c r="C21" s="4" t="inlineStr">
        <is>
          <t>Food</t>
        </is>
      </c>
      <c r="D21" s="4" t="inlineStr">
        <is>
          <t>Crete dining benchmarks</t>
        </is>
      </c>
      <c r="E21" s="4" t="inlineStr">
        <is>
          <t>visitcrete.gr / local restaurant guides</t>
        </is>
      </c>
      <c r="F21" s="4" t="inlineStr">
        <is>
          <t>Cretan taverna food cost benchmarks; Agios Nikolaos harbor restaurants</t>
        </is>
      </c>
      <c r="G21" s="4" t="inlineStr">
        <is>
          <t>Medium</t>
        </is>
      </c>
      <c r="H21" s="4" t="inlineStr">
        <is>
          <t>Crete generally good value vs. Santorini; harbor slightly premium</t>
        </is>
      </c>
    </row>
    <row r="22">
      <c r="A22" s="2" t="inlineStr">
        <is>
          <t>BA-FL</t>
        </is>
      </c>
      <c r="B22" s="2" t="inlineStr">
        <is>
          <t>Bavaria</t>
        </is>
      </c>
      <c r="C22" s="2" t="inlineStr">
        <is>
          <t>Flights</t>
        </is>
      </c>
      <c r="D22" s="2" t="inlineStr">
        <is>
          <t>Lufthansa IAD–MUC nonstop</t>
        </is>
      </c>
      <c r="E22" s="2" t="inlineStr">
        <is>
          <t>lufthansa.com</t>
        </is>
      </c>
      <c r="F22" s="2" t="inlineStr">
        <is>
          <t>Direct nonstop service; ~8h 10m</t>
        </is>
      </c>
      <c r="G22" s="2" t="inlineStr">
        <is>
          <t>High</t>
        </is>
      </c>
      <c r="H22" s="2" t="inlineStr">
        <is>
          <t>Also check United IAD–MUC</t>
        </is>
      </c>
    </row>
    <row r="23">
      <c r="A23" s="4" t="inlineStr">
        <is>
          <t>BA-FL</t>
        </is>
      </c>
      <c r="B23" s="4" t="inlineStr">
        <is>
          <t>Bavaria</t>
        </is>
      </c>
      <c r="C23" s="4" t="inlineStr">
        <is>
          <t>Flights</t>
        </is>
      </c>
      <c r="D23" s="4" t="inlineStr">
        <is>
          <t>Icelandair via KEF</t>
        </is>
      </c>
      <c r="E23" s="4" t="inlineStr">
        <is>
          <t>icelandair.com</t>
        </is>
      </c>
      <c r="F23" s="4" t="inlineStr">
        <is>
          <t>Budget routing option; adds ~2–3 hrs</t>
        </is>
      </c>
      <c r="G23" s="4" t="inlineStr">
        <is>
          <t>Medium</t>
        </is>
      </c>
      <c r="H23" s="4" t="inlineStr">
        <is>
          <t>Good for low scenario pricing</t>
        </is>
      </c>
    </row>
    <row r="24">
      <c r="A24" s="2" t="inlineStr">
        <is>
          <t>BA-RT</t>
        </is>
      </c>
      <c r="B24" s="2" t="inlineStr">
        <is>
          <t>Bavaria</t>
        </is>
      </c>
      <c r="C24" s="2" t="inlineStr">
        <is>
          <t>Rail</t>
        </is>
      </c>
      <c r="D24" s="2" t="inlineStr">
        <is>
          <t>Deutsche Bahn Bayern-Ticket</t>
        </is>
      </c>
      <c r="E24" s="2" t="inlineStr">
        <is>
          <t>bahn.de</t>
        </is>
      </c>
      <c r="F24" s="2" t="inlineStr">
        <is>
          <t>Bayern-Ticket pricing; validity; free-child rule (ages 6–14 free)</t>
        </is>
      </c>
      <c r="G24" s="2" t="inlineStr">
        <is>
          <t>High</t>
        </is>
      </c>
      <c r="H24" s="2" t="inlineStr">
        <is>
          <t>14yo rides free; 17yo is adult rate; €49/family of 4 per day</t>
        </is>
      </c>
    </row>
    <row r="25">
      <c r="A25" s="4" t="inlineStr">
        <is>
          <t>BA-RT</t>
        </is>
      </c>
      <c r="B25" s="4" t="inlineStr">
        <is>
          <t>Bavaria</t>
        </is>
      </c>
      <c r="C25" s="4" t="inlineStr">
        <is>
          <t>Rail</t>
        </is>
      </c>
      <c r="D25" s="4" t="inlineStr">
        <is>
          <t>ÖBB Railjet Salzburg–Munich</t>
        </is>
      </c>
      <c r="E25" s="4" t="inlineStr">
        <is>
          <t>oebb.at</t>
        </is>
      </c>
      <c r="F25" s="4" t="inlineStr">
        <is>
          <t>Salzburg → Munich final morning; 1h 28m; seat reservation required</t>
        </is>
      </c>
      <c r="G25" s="4" t="inlineStr">
        <is>
          <t>High</t>
        </is>
      </c>
      <c r="H25" s="4" t="inlineStr">
        <is>
          <t>Book 3–4 weeks ahead; reservation ~$30/person</t>
        </is>
      </c>
    </row>
    <row r="26">
      <c r="A26" s="2" t="inlineStr">
        <is>
          <t>BA-AC</t>
        </is>
      </c>
      <c r="B26" s="2" t="inlineStr">
        <is>
          <t>Bavaria</t>
        </is>
      </c>
      <c r="C26" s="2" t="inlineStr">
        <is>
          <t>Attractions</t>
        </is>
      </c>
      <c r="D26" s="2" t="inlineStr">
        <is>
          <t>Zugspitze official</t>
        </is>
      </c>
      <c r="E26" s="2" t="inlineStr">
        <is>
          <t>zugspitze.de</t>
        </is>
      </c>
      <c r="F26" s="2" t="inlineStr">
        <is>
          <t>Summer cable car operations; family/youth pricing; webcam for conditions</t>
        </is>
      </c>
      <c r="G26" s="2" t="inlineStr">
        <is>
          <t>High</t>
        </is>
      </c>
      <c r="H26" s="2" t="inlineStr">
        <is>
          <t>Check webcam morning of; youth pricing applies for 17yo</t>
        </is>
      </c>
    </row>
    <row r="27">
      <c r="A27" s="4" t="inlineStr">
        <is>
          <t>BA-AC</t>
        </is>
      </c>
      <c r="B27" s="4" t="inlineStr">
        <is>
          <t>Bavaria</t>
        </is>
      </c>
      <c r="C27" s="4" t="inlineStr">
        <is>
          <t>Attractions</t>
        </is>
      </c>
      <c r="D27" s="4" t="inlineStr">
        <is>
          <t>Karwendelbahn official</t>
        </is>
      </c>
      <c r="E27" s="4" t="inlineStr">
        <is>
          <t>karwendelbahn.de</t>
        </is>
      </c>
      <c r="F27" s="4" t="inlineStr">
        <is>
          <t>Mittenwald cable car; schedule; pricing; free under 15</t>
        </is>
      </c>
      <c r="G27" s="4" t="inlineStr">
        <is>
          <t>High</t>
        </is>
      </c>
      <c r="H27" s="4" t="inlineStr">
        <is>
          <t>14yo rides free</t>
        </is>
      </c>
    </row>
    <row r="28">
      <c r="A28" s="2" t="inlineStr">
        <is>
          <t>BA-AC</t>
        </is>
      </c>
      <c r="B28" s="2" t="inlineStr">
        <is>
          <t>Bavaria</t>
        </is>
      </c>
      <c r="C28" s="2" t="inlineStr">
        <is>
          <t>Attractions</t>
        </is>
      </c>
      <c r="D28" s="2" t="inlineStr">
        <is>
          <t>Bayerische Seenschifffahrt (Königssee)</t>
        </is>
      </c>
      <c r="E28" s="2" t="inlineStr">
        <is>
          <t>seenschifffahrt.de</t>
        </is>
      </c>
      <c r="F28" s="2" t="inlineStr">
        <is>
          <t>Electric boat schedule; pricing; adult/youth rates</t>
        </is>
      </c>
      <c r="G28" s="2" t="inlineStr">
        <is>
          <t>High</t>
        </is>
      </c>
      <c r="H28" s="2" t="inlineStr">
        <is>
          <t>Take first morning boat; seats go fast</t>
        </is>
      </c>
    </row>
    <row r="29">
      <c r="A29" s="4" t="inlineStr">
        <is>
          <t>BA-AC</t>
        </is>
      </c>
      <c r="B29" s="4" t="inlineStr">
        <is>
          <t>Bavaria</t>
        </is>
      </c>
      <c r="C29" s="4" t="inlineStr">
        <is>
          <t>Attractions</t>
        </is>
      </c>
      <c r="D29" s="4" t="inlineStr">
        <is>
          <t>Kehlstein (Eagle's Nest)</t>
        </is>
      </c>
      <c r="E29" s="4" t="inlineStr">
        <is>
          <t>kehlsteinhaus.de</t>
        </is>
      </c>
      <c r="F29" s="4" t="inlineStr">
        <is>
          <t>Bus/elevator access; seasonal operation; ticket pricing</t>
        </is>
      </c>
      <c r="G29" s="4" t="inlineStr">
        <is>
          <t>High</t>
        </is>
      </c>
      <c r="H29" s="4" t="inlineStr">
        <is>
          <t>Cash/credit card at top; operates May–Oct</t>
        </is>
      </c>
    </row>
    <row r="30">
      <c r="A30" s="2" t="inlineStr">
        <is>
          <t>BA-AC</t>
        </is>
      </c>
      <c r="B30" s="2" t="inlineStr">
        <is>
          <t>Bavaria</t>
        </is>
      </c>
      <c r="C30" s="2" t="inlineStr">
        <is>
          <t>Attractions</t>
        </is>
      </c>
      <c r="D30" s="2" t="inlineStr">
        <is>
          <t>Deutsches Museum</t>
        </is>
      </c>
      <c r="E30" s="2" t="inlineStr">
        <is>
          <t>deutsches-museum.de</t>
        </is>
      </c>
      <c r="F30" s="2" t="inlineStr">
        <is>
          <t>Admission pricing; hours; teen-appeal content</t>
        </is>
      </c>
      <c r="G30" s="2" t="inlineStr">
        <is>
          <t>High</t>
        </is>
      </c>
      <c r="H30" s="2" t="inlineStr"/>
    </row>
    <row r="31">
      <c r="A31" s="4" t="inlineStr">
        <is>
          <t>BA-AC</t>
        </is>
      </c>
      <c r="B31" s="4" t="inlineStr">
        <is>
          <t>Bavaria</t>
        </is>
      </c>
      <c r="C31" s="4" t="inlineStr">
        <is>
          <t>Attractions</t>
        </is>
      </c>
      <c r="D31" s="4" t="inlineStr">
        <is>
          <t>Festung Hohensalzburg</t>
        </is>
      </c>
      <c r="E31" s="4" t="inlineStr">
        <is>
          <t>salzburg-burgen.at</t>
        </is>
      </c>
      <c r="F31" s="4" t="inlineStr">
        <is>
          <t>Fortress funicular pricing; adult/youth rates</t>
        </is>
      </c>
      <c r="G31" s="4" t="inlineStr">
        <is>
          <t>High</t>
        </is>
      </c>
      <c r="H31" s="4" t="inlineStr"/>
    </row>
    <row r="32">
      <c r="A32" s="2" t="inlineStr">
        <is>
          <t>BA-LO</t>
        </is>
      </c>
      <c r="B32" s="2" t="inlineStr">
        <is>
          <t>Bavaria</t>
        </is>
      </c>
      <c r="C32" s="2" t="inlineStr">
        <is>
          <t>Lodging</t>
        </is>
      </c>
      <c r="D32" s="2" t="inlineStr">
        <is>
          <t>Booking.com / direct hotels</t>
        </is>
      </c>
      <c r="E32" s="2" t="inlineStr">
        <is>
          <t>booking.com</t>
        </is>
      </c>
      <c r="F32" s="2" t="inlineStr">
        <is>
          <t>Munich / Mittenwald / Berchtesgaden / Salzburg family room rates</t>
        </is>
      </c>
      <c r="G32" s="2" t="inlineStr">
        <is>
          <t>Medium</t>
        </is>
      </c>
      <c r="H32" s="2" t="inlineStr">
        <is>
          <t>Salzburg: book 5–6 months ahead due to Festspiele</t>
        </is>
      </c>
    </row>
    <row r="33">
      <c r="A33" s="4" t="inlineStr">
        <is>
          <t>BA-FD</t>
        </is>
      </c>
      <c r="B33" s="4" t="inlineStr">
        <is>
          <t>Bavaria</t>
        </is>
      </c>
      <c r="C33" s="4" t="inlineStr">
        <is>
          <t>Food</t>
        </is>
      </c>
      <c r="D33" s="4" t="inlineStr">
        <is>
          <t>Munich / Bavaria general tourism</t>
        </is>
      </c>
      <c r="E33" s="4" t="inlineStr">
        <is>
          <t>munich.travel</t>
        </is>
      </c>
      <c r="F33" s="4" t="inlineStr">
        <is>
          <t>Food cost benchmarks; beer garden pricing</t>
        </is>
      </c>
      <c r="G33" s="4" t="inlineStr">
        <is>
          <t>Medium</t>
        </is>
      </c>
      <c r="H33" s="4" t="inlineStr">
        <is>
          <t>Bavaria moderately priced; bakery + beer garden strategy keeps costs low</t>
        </is>
      </c>
    </row>
    <row r="34">
      <c r="A34" s="2" t="inlineStr">
        <is>
          <t>BA2-AC</t>
        </is>
      </c>
      <c r="B34" s="2" t="inlineStr">
        <is>
          <t>Bavaria Opt 2</t>
        </is>
      </c>
      <c r="C34" s="2" t="inlineStr">
        <is>
          <t>Attractions</t>
        </is>
      </c>
      <c r="D34" s="2" t="inlineStr">
        <is>
          <t>Neuschwanstein / Hohenschwangau official tickets</t>
        </is>
      </c>
      <c r="E34" s="2" t="inlineStr">
        <is>
          <t>tickets.hohenschwangau.de</t>
        </is>
      </c>
      <c r="F34" s="2" t="inlineStr">
        <is>
          <t>Neuschwanstein timed interior tour; under 18 free with guardian; July availability</t>
        </is>
      </c>
      <c r="G34" s="2" t="inlineStr">
        <is>
          <t>High</t>
        </is>
      </c>
      <c r="H34" s="2" t="inlineStr">
        <is>
          <t>Book immediately upon confirming trip; July sells out weeks ahead</t>
        </is>
      </c>
    </row>
    <row r="35">
      <c r="A35" s="4" t="inlineStr">
        <is>
          <t>BA2-AC</t>
        </is>
      </c>
      <c r="B35" s="4" t="inlineStr">
        <is>
          <t>Bavaria Opt 2</t>
        </is>
      </c>
      <c r="C35" s="4" t="inlineStr">
        <is>
          <t>Attractions</t>
        </is>
      </c>
      <c r="D35" s="4" t="inlineStr">
        <is>
          <t>Schloss Nymphenburg official</t>
        </is>
      </c>
      <c r="E35" s="4" t="inlineStr">
        <is>
          <t>schloss-nymphenburg.de</t>
        </is>
      </c>
      <c r="F35" s="4" t="inlineStr">
        <is>
          <t>Palace entry pricing; grounds and canals free; summer café on-site</t>
        </is>
      </c>
      <c r="G35" s="4" t="inlineStr">
        <is>
          <t>High</t>
        </is>
      </c>
      <c r="H35" s="4" t="inlineStr">
        <is>
          <t>Good half-day activity; grounds free even without palace entry</t>
        </is>
      </c>
    </row>
    <row r="36">
      <c r="A36" s="2" t="inlineStr">
        <is>
          <t>BA2-AC</t>
        </is>
      </c>
      <c r="B36" s="2" t="inlineStr">
        <is>
          <t>Bavaria Opt 2</t>
        </is>
      </c>
      <c r="C36" s="2" t="inlineStr">
        <is>
          <t>Attractions</t>
        </is>
      </c>
      <c r="D36" s="2" t="inlineStr">
        <is>
          <t>Hallstatt tourism / ÖBB regional rail</t>
        </is>
      </c>
      <c r="E36" s="2" t="inlineStr">
        <is>
          <t>hallstatt.net / oebb.at</t>
        </is>
      </c>
      <c r="F36" s="2" t="inlineStr">
        <is>
          <t>Hallstatt day trip logistics from Salzburg; train + bus combo; Salzwelten mine museum</t>
        </is>
      </c>
      <c r="G36" s="2" t="inlineStr">
        <is>
          <t>Medium</t>
        </is>
      </c>
      <c r="H36" s="2" t="inlineStr">
        <is>
          <t>Regional rail Salzburg–Attnang-Puchheim–Hallstatt; arrive early to beat July tour buses</t>
        </is>
      </c>
    </row>
    <row r="37">
      <c r="A37" s="4" t="inlineStr">
        <is>
          <t>SL-FL</t>
        </is>
      </c>
      <c r="B37" s="4" t="inlineStr">
        <is>
          <t>St. Lucia</t>
        </is>
      </c>
      <c r="C37" s="4" t="inlineStr">
        <is>
          <t>Flights</t>
        </is>
      </c>
      <c r="D37" s="4" t="inlineStr">
        <is>
          <t>American Airlines PHL–UVF</t>
        </is>
      </c>
      <c r="E37" s="4" t="inlineStr">
        <is>
          <t>aa.com</t>
        </is>
      </c>
      <c r="F37" s="4" t="inlineStr">
        <is>
          <t>Weekly nonstop PHL–UVF; ~4h 45m; fare range</t>
        </is>
      </c>
      <c r="G37" s="4" t="inlineStr">
        <is>
          <t>High</t>
        </is>
      </c>
      <c r="H37" s="4" t="inlineStr">
        <is>
          <t>Verify exact July 2026 schedule; check early for PHL nonstop availability</t>
        </is>
      </c>
    </row>
    <row r="38">
      <c r="A38" s="2" t="inlineStr">
        <is>
          <t>SL-LO</t>
        </is>
      </c>
      <c r="B38" s="2" t="inlineStr">
        <is>
          <t>St. Lucia</t>
        </is>
      </c>
      <c r="C38" s="2" t="inlineStr">
        <is>
          <t>Lodging</t>
        </is>
      </c>
      <c r="D38" s="2" t="inlineStr">
        <is>
          <t>Coconut Bay Resort</t>
        </is>
      </c>
      <c r="E38" s="2" t="inlineStr">
        <is>
          <t>cbayresort.com</t>
        </is>
      </c>
      <c r="F38" s="2" t="inlineStr">
        <is>
          <t>All-inclusive family Splash wing; rates; inclusions</t>
        </is>
      </c>
      <c r="G38" s="2" t="inlineStr">
        <is>
          <t>Medium</t>
        </is>
      </c>
      <c r="H38" s="2" t="inlineStr">
        <is>
          <t>2026 July rates not yet published; get direct quote</t>
        </is>
      </c>
    </row>
    <row r="39">
      <c r="A39" s="4" t="inlineStr">
        <is>
          <t>SL-LO</t>
        </is>
      </c>
      <c r="B39" s="4" t="inlineStr">
        <is>
          <t>St. Lucia</t>
        </is>
      </c>
      <c r="C39" s="4" t="inlineStr">
        <is>
          <t>Lodging</t>
        </is>
      </c>
      <c r="D39" s="4" t="inlineStr">
        <is>
          <t>Bay Gardens Beach Resort</t>
        </is>
      </c>
      <c r="E39" s="4" t="inlineStr">
        <is>
          <t>baygardensresorts.com</t>
        </is>
      </c>
      <c r="F39" s="4" t="inlineStr">
        <is>
          <t>Rodney Bay family rooms; nightly rates</t>
        </is>
      </c>
      <c r="G39" s="4" t="inlineStr">
        <is>
          <t>High</t>
        </is>
      </c>
      <c r="H39" s="4" t="inlineStr"/>
    </row>
    <row r="40">
      <c r="A40" s="2" t="inlineStr">
        <is>
          <t>SL-LO</t>
        </is>
      </c>
      <c r="B40" s="2" t="inlineStr">
        <is>
          <t>St. Lucia</t>
        </is>
      </c>
      <c r="C40" s="2" t="inlineStr">
        <is>
          <t>Lodging</t>
        </is>
      </c>
      <c r="D40" s="2" t="inlineStr">
        <is>
          <t>Stonefield Villa Resort</t>
        </is>
      </c>
      <c r="E40" s="2" t="inlineStr">
        <is>
          <t>stonefieldvillas.com</t>
        </is>
      </c>
      <c r="F40" s="2" t="inlineStr">
        <is>
          <t>Soufrière villa option; 2BR; Piton views</t>
        </is>
      </c>
      <c r="G40" s="2" t="inlineStr">
        <is>
          <t>High</t>
        </is>
      </c>
      <c r="H40" s="2" t="inlineStr"/>
    </row>
    <row r="41">
      <c r="A41" s="4" t="inlineStr">
        <is>
          <t>SL-AC</t>
        </is>
      </c>
      <c r="B41" s="4" t="inlineStr">
        <is>
          <t>St. Lucia</t>
        </is>
      </c>
      <c r="C41" s="4" t="inlineStr">
        <is>
          <t>Activities</t>
        </is>
      </c>
      <c r="D41" s="4" t="inlineStr">
        <is>
          <t>St. Lucia National Trust (Gros Piton)</t>
        </is>
      </c>
      <c r="E41" s="4" t="inlineStr">
        <is>
          <t>slunatrust.org</t>
        </is>
      </c>
      <c r="F41" s="4" t="inlineStr">
        <is>
          <t>Gros Piton trail fee ($50/pp); mandatory guide requirement</t>
        </is>
      </c>
      <c r="G41" s="4" t="inlineStr">
        <is>
          <t>High</t>
        </is>
      </c>
      <c r="H41" s="4" t="inlineStr">
        <is>
          <t>Guide is legally required; adds real value</t>
        </is>
      </c>
    </row>
    <row r="42">
      <c r="A42" s="2" t="inlineStr">
        <is>
          <t>SL-AC</t>
        </is>
      </c>
      <c r="B42" s="2" t="inlineStr">
        <is>
          <t>St. Lucia</t>
        </is>
      </c>
      <c r="C42" s="2" t="inlineStr">
        <is>
          <t>Activities</t>
        </is>
      </c>
      <c r="D42" s="2" t="inlineStr">
        <is>
          <t>Tet Paul Nature Trail</t>
        </is>
      </c>
      <c r="E42" s="2" t="inlineStr">
        <is>
          <t>thetetpaulnaturetrail.com</t>
        </is>
      </c>
      <c r="F42" s="2" t="inlineStr">
        <is>
          <t>Entry pricing; trail description; panoramic Piton views</t>
        </is>
      </c>
      <c r="G42" s="2" t="inlineStr">
        <is>
          <t>High</t>
        </is>
      </c>
      <c r="H42" s="2" t="inlineStr"/>
    </row>
    <row r="43">
      <c r="A43" s="4" t="inlineStr">
        <is>
          <t>SL-AC</t>
        </is>
      </c>
      <c r="B43" s="4" t="inlineStr">
        <is>
          <t>St. Lucia</t>
        </is>
      </c>
      <c r="C43" s="4" t="inlineStr">
        <is>
          <t>Activities</t>
        </is>
      </c>
      <c r="D43" s="4" t="inlineStr">
        <is>
          <t>Sea Spray Cruises</t>
        </is>
      </c>
      <c r="E43" s="4" t="inlineStr">
        <is>
          <t>seaspreystlucia.com</t>
        </is>
      </c>
      <c r="F43" s="4" t="inlineStr">
        <is>
          <t>Tout Bagay full-day catamaran; pricing; schedule</t>
        </is>
      </c>
      <c r="G43" s="4" t="inlineStr">
        <is>
          <t>High</t>
        </is>
      </c>
      <c r="H43" s="4" t="inlineStr"/>
    </row>
    <row r="44">
      <c r="A44" s="2" t="inlineStr">
        <is>
          <t>SL-AC</t>
        </is>
      </c>
      <c r="B44" s="2" t="inlineStr">
        <is>
          <t>St. Lucia</t>
        </is>
      </c>
      <c r="C44" s="2" t="inlineStr">
        <is>
          <t>Activities</t>
        </is>
      </c>
      <c r="D44" s="2" t="inlineStr">
        <is>
          <t>Rainforest Adventures St. Lucia</t>
        </is>
      </c>
      <c r="E44" s="2" t="inlineStr">
        <is>
          <t>rainforestadventure.com</t>
        </is>
      </c>
      <c r="F44" s="2" t="inlineStr">
        <is>
          <t>Aerial tram + zip-line; pricing; age/weight requirements</t>
        </is>
      </c>
      <c r="G44" s="2" t="inlineStr">
        <is>
          <t>High</t>
        </is>
      </c>
      <c r="H44" s="2" t="inlineStr">
        <is>
          <t>Min age 8; max 290 lbs</t>
        </is>
      </c>
    </row>
    <row r="45">
      <c r="A45" s="4" t="inlineStr">
        <is>
          <t>SL-AC</t>
        </is>
      </c>
      <c r="B45" s="4" t="inlineStr">
        <is>
          <t>St. Lucia</t>
        </is>
      </c>
      <c r="C45" s="4" t="inlineStr">
        <is>
          <t>Activities</t>
        </is>
      </c>
      <c r="D45" s="4" t="inlineStr">
        <is>
          <t>Diamond Botanical Gardens</t>
        </is>
      </c>
      <c r="E45" s="4" t="inlineStr">
        <is>
          <t>diamondstlucia.com</t>
        </is>
      </c>
      <c r="F45" s="4" t="inlineStr">
        <is>
          <t>Entry pricing; mineral baths; waterfall</t>
        </is>
      </c>
      <c r="G45" s="4" t="inlineStr">
        <is>
          <t>High</t>
        </is>
      </c>
      <c r="H45" s="4" t="inlineStr"/>
    </row>
    <row r="46">
      <c r="A46" s="2" t="inlineStr">
        <is>
          <t>SL-TR</t>
        </is>
      </c>
      <c r="B46" s="2" t="inlineStr">
        <is>
          <t>St. Lucia</t>
        </is>
      </c>
      <c r="C46" s="2" t="inlineStr">
        <is>
          <t>Transfers</t>
        </is>
      </c>
      <c r="D46" s="2" t="inlineStr">
        <is>
          <t>Local taxi operators</t>
        </is>
      </c>
      <c r="E46" s="2" t="inlineStr">
        <is>
          <t>stluciataxiservice.com</t>
        </is>
      </c>
      <c r="F46" s="2" t="inlineStr">
        <is>
          <t>UVF transfer cost estimates; Soufrière / Rodney Bay rates</t>
        </is>
      </c>
      <c r="G46" s="2" t="inlineStr">
        <is>
          <t>Medium</t>
        </is>
      </c>
      <c r="H46" s="2" t="inlineStr">
        <is>
          <t>Get quotes directly on arrival; prices can vary</t>
        </is>
      </c>
    </row>
    <row r="47">
      <c r="A47" s="4" t="inlineStr">
        <is>
          <t>SL-WX</t>
        </is>
      </c>
      <c r="B47" s="4" t="inlineStr">
        <is>
          <t>St. Lucia</t>
        </is>
      </c>
      <c r="C47" s="4" t="inlineStr">
        <is>
          <t>Weather</t>
        </is>
      </c>
      <c r="D47" s="4" t="inlineStr">
        <is>
          <t>NOAA / National Hurricane Center</t>
        </is>
      </c>
      <c r="E47" s="4" t="inlineStr">
        <is>
          <t>nhc.noaa.gov</t>
        </is>
      </c>
      <c r="F47" s="4" t="inlineStr">
        <is>
          <t>July hurricane season framing; historical risk profile</t>
        </is>
      </c>
      <c r="G47" s="4" t="inlineStr">
        <is>
          <t>High</t>
        </is>
      </c>
      <c r="H47" s="4" t="inlineStr">
        <is>
          <t>Early July historically lower risk than Aug/Sep; buy CFAR travel insurance</t>
        </is>
      </c>
    </row>
    <row r="48">
      <c r="A48" s="2" t="inlineStr">
        <is>
          <t>SL-WX</t>
        </is>
      </c>
      <c r="B48" s="2" t="inlineStr">
        <is>
          <t>St. Lucia</t>
        </is>
      </c>
      <c r="C48" s="2" t="inlineStr">
        <is>
          <t>Weather</t>
        </is>
      </c>
      <c r="D48" s="2" t="inlineStr">
        <is>
          <t>Saint Lucia Tourism Authority</t>
        </is>
      </c>
      <c r="E48" s="2" t="inlineStr">
        <is>
          <t>stlucia.org</t>
        </is>
      </c>
      <c r="F48" s="2" t="inlineStr">
        <is>
          <t>July weather and travel season guidance</t>
        </is>
      </c>
      <c r="G48" s="2" t="inlineStr">
        <is>
          <t>High</t>
        </is>
      </c>
      <c r="H48" s="2" t="inlineStr"/>
    </row>
    <row r="49">
      <c r="A49" s="4" t="inlineStr">
        <is>
          <t>FX</t>
        </is>
      </c>
      <c r="B49" s="4" t="inlineStr">
        <is>
          <t>All</t>
        </is>
      </c>
      <c r="C49" s="4" t="inlineStr">
        <is>
          <t>FX Reference</t>
        </is>
      </c>
      <c r="D49" s="4" t="inlineStr">
        <is>
          <t>ECB EUR/USD reference rate (May 2026)</t>
        </is>
      </c>
      <c r="E49" s="4" t="inlineStr">
        <is>
          <t>ecb.europa.eu</t>
        </is>
      </c>
      <c r="F49" s="4" t="inlineStr">
        <is>
          <t>EUR to USD conversion: €1 = $1.18 used throughout</t>
        </is>
      </c>
      <c r="G49" s="4" t="inlineStr">
        <is>
          <t>High</t>
        </is>
      </c>
      <c r="H49" s="4" t="inlineStr">
        <is>
          <t>Verify current rate when booking; significant FX moves possible before July 2026</t>
        </is>
      </c>
    </row>
    <row r="50">
      <c r="A50" s="2" t="inlineStr">
        <is>
          <t>US-DOS</t>
        </is>
      </c>
      <c r="B50" s="2" t="inlineStr">
        <is>
          <t>All</t>
        </is>
      </c>
      <c r="C50" s="2" t="inlineStr">
        <is>
          <t>Safety</t>
        </is>
      </c>
      <c r="D50" s="2" t="inlineStr">
        <is>
          <t>U.S. Department of State</t>
        </is>
      </c>
      <c r="E50" s="2" t="inlineStr">
        <is>
          <t>travel.state.gov</t>
        </is>
      </c>
      <c r="F50" s="2" t="inlineStr">
        <is>
          <t>Travel advisories: Greece L1; Germany L1; Austria L1; St. Lucia L1</t>
        </is>
      </c>
      <c r="G50" s="2" t="inlineStr">
        <is>
          <t>High</t>
        </is>
      </c>
      <c r="H50" s="2" t="inlineStr">
        <is>
          <t>Verify before departure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2026-05-25T16:44:55Z</dcterms:created>
  <dcterms:modified xmlns:dcterms="http://purl.org/dc/terms/" xmlns:xsi="http://www.w3.org/2001/XMLSchema-instance" xsi:type="dcterms:W3CDTF">2026-05-25T16:44:58Z</dcterms:modified>
</cp:coreProperties>
</file>